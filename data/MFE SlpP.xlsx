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agg1slp_bosch_com/Documents/PersonalDrive/Documents/Daily/Daily operation - Backup/P3 Consolidate/"/>
    </mc:Choice>
  </mc:AlternateContent>
  <xr:revisionPtr revIDLastSave="2" documentId="8_{39C4F6E0-F5D9-4807-B226-7E6547D85E50}" xr6:coauthVersionLast="47" xr6:coauthVersionMax="47" xr10:uidLastSave="{8A49B723-B287-499C-88BB-9352987887E9}"/>
  <bookViews>
    <workbookView xWindow="-108" yWindow="-108" windowWidth="23256" windowHeight="13896" firstSheet="1" activeTab="3" xr2:uid="{244159EC-EFE9-4E01-88A2-3E95DDF63DAB}"/>
  </bookViews>
  <sheets>
    <sheet name="New Program" sheetId="7" state="hidden" r:id="rId1"/>
    <sheet name="Flexline" sheetId="1" r:id="rId2"/>
    <sheet name="5NC Relocation" sheetId="8" r:id="rId3"/>
    <sheet name="Subassembly Consolidation" sheetId="12" r:id="rId4"/>
    <sheet name="ECR - Standard" sheetId="2" state="hidden" r:id="rId5"/>
    <sheet name="ECR Manager Decision" sheetId="3" state="hidden" r:id="rId6"/>
    <sheet name="CO ECR" sheetId="4" state="hidden" r:id="rId7"/>
    <sheet name="Global ECR" sheetId="5" state="hidden" r:id="rId8"/>
  </sheets>
  <definedNames>
    <definedName name="_xlnm._FilterDatabase" localSheetId="2" hidden="1">'5NC Relocation'!$A$2:$I$62</definedName>
    <definedName name="_xlnm._FilterDatabase" localSheetId="1" hidden="1">Flexline!$A$2:$I$38</definedName>
    <definedName name="_xlnm._FilterDatabase" localSheetId="3" hidden="1">'Subassembly Consolidation'!$A$2:$I$63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2" l="1"/>
  <c r="E4" i="12" l="1"/>
  <c r="E13" i="8"/>
  <c r="E12" i="8"/>
  <c r="E11" i="8"/>
  <c r="E10" i="8"/>
  <c r="E9" i="8"/>
  <c r="E8" i="8"/>
  <c r="E7" i="8"/>
  <c r="E6" i="8"/>
  <c r="E5" i="8"/>
  <c r="E4" i="8"/>
  <c r="E3" i="8"/>
  <c r="F3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E3" i="12" l="1"/>
  <c r="D6" i="12"/>
  <c r="F6" i="12"/>
  <c r="E6" i="12" l="1"/>
  <c r="E5" i="12"/>
  <c r="E8" i="12" l="1"/>
  <c r="E7" i="12" l="1"/>
  <c r="E10" i="12" l="1"/>
</calcChain>
</file>

<file path=xl/sharedStrings.xml><?xml version="1.0" encoding="utf-8"?>
<sst xmlns="http://schemas.openxmlformats.org/spreadsheetml/2006/main" count="352" uniqueCount="140">
  <si>
    <t xml:space="preserve">Task </t>
  </si>
  <si>
    <t xml:space="preserve">Responsible </t>
  </si>
  <si>
    <t>Inputs</t>
  </si>
  <si>
    <t xml:space="preserve">Project Award </t>
  </si>
  <si>
    <t>Project Kickoff</t>
  </si>
  <si>
    <t xml:space="preserve">Design phase </t>
  </si>
  <si>
    <t>B- Design freeze</t>
  </si>
  <si>
    <t xml:space="preserve">Drawing release </t>
  </si>
  <si>
    <t xml:space="preserve">Soft tooling </t>
  </si>
  <si>
    <t>DV</t>
  </si>
  <si>
    <t>B-samples</t>
  </si>
  <si>
    <t xml:space="preserve">B-samples production run </t>
  </si>
  <si>
    <t xml:space="preserve">DVP&amp;R </t>
  </si>
  <si>
    <t xml:space="preserve">Workload (%  hrs) </t>
  </si>
  <si>
    <t xml:space="preserve">(ChR) </t>
  </si>
  <si>
    <t>(ChR)</t>
  </si>
  <si>
    <t xml:space="preserve"> (ChR) </t>
  </si>
  <si>
    <t xml:space="preserve">(ENG) </t>
  </si>
  <si>
    <t xml:space="preserve">(PJM/Sales) </t>
  </si>
  <si>
    <t xml:space="preserve"> (PPS)</t>
  </si>
  <si>
    <t xml:space="preserve">(ChR)  </t>
  </si>
  <si>
    <t>(PUQ)</t>
  </si>
  <si>
    <t xml:space="preserve"> (PUQ/ChR)</t>
  </si>
  <si>
    <t xml:space="preserve">(LOG/ChR) </t>
  </si>
  <si>
    <t xml:space="preserve">(ChR/ENG) </t>
  </si>
  <si>
    <t xml:space="preserve">(MFE/ENG/QMM) </t>
  </si>
  <si>
    <t xml:space="preserve">(ChR/PUQ) </t>
  </si>
  <si>
    <t>(ChR/ENG)</t>
  </si>
  <si>
    <t xml:space="preserve"> (ChR)</t>
  </si>
  <si>
    <t>(TEF6)</t>
  </si>
  <si>
    <t xml:space="preserve">(ChR/Lcoal Change Co) </t>
  </si>
  <si>
    <t>(QMM)</t>
  </si>
  <si>
    <t xml:space="preserve">(Sales) </t>
  </si>
  <si>
    <t>(PPS/LOG)</t>
  </si>
  <si>
    <t xml:space="preserve"> (CFT) </t>
  </si>
  <si>
    <t xml:space="preserve">(CFT) </t>
  </si>
  <si>
    <t xml:space="preserve">KO meeting  </t>
  </si>
  <si>
    <t xml:space="preserve">RACE submission for new PN if applies </t>
  </si>
  <si>
    <t xml:space="preserve">Customer acceptance of the ECR </t>
  </si>
  <si>
    <t>Systematic release to supplier</t>
  </si>
  <si>
    <t xml:space="preserve">Business case available   </t>
  </si>
  <si>
    <t xml:space="preserve">TR meeting  </t>
  </si>
  <si>
    <t xml:space="preserve">PTR parts available  </t>
  </si>
  <si>
    <t xml:space="preserve">First part of MP206 completion   </t>
  </si>
  <si>
    <t xml:space="preserve">Counter measurement start date   </t>
  </si>
  <si>
    <t xml:space="preserve">Counter measurement end date   </t>
  </si>
  <si>
    <t xml:space="preserve">DL review and release if applies  </t>
  </si>
  <si>
    <t xml:space="preserve">PTR Date   </t>
  </si>
  <si>
    <t xml:space="preserve">PV start date   </t>
  </si>
  <si>
    <t xml:space="preserve">PV end date   </t>
  </si>
  <si>
    <t xml:space="preserve">PTR and PV report   </t>
  </si>
  <si>
    <t xml:space="preserve">Interim PSW   </t>
  </si>
  <si>
    <t xml:space="preserve">Customer validation completion   </t>
  </si>
  <si>
    <t xml:space="preserve">Final Review presentation  </t>
  </si>
  <si>
    <t xml:space="preserve">New PN release and available in SAP   </t>
  </si>
  <si>
    <t xml:space="preserve">ECR ST40   </t>
  </si>
  <si>
    <t xml:space="preserve">Customer approval (full PSW)   </t>
  </si>
  <si>
    <t xml:space="preserve">PO Update   </t>
  </si>
  <si>
    <t xml:space="preserve">SOP supplier  </t>
  </si>
  <si>
    <t xml:space="preserve">Date of first batch arrival  </t>
  </si>
  <si>
    <t xml:space="preserve">SOP BOSCH  </t>
  </si>
  <si>
    <t xml:space="preserve">ECR close ST48   </t>
  </si>
  <si>
    <t>Full PSW Supplier</t>
  </si>
  <si>
    <t xml:space="preserve">Correction on SAP </t>
  </si>
  <si>
    <t xml:space="preserve">(Doc. Department) </t>
  </si>
  <si>
    <t xml:space="preserve">(ChR/Local Change Co) </t>
  </si>
  <si>
    <t xml:space="preserve">(Local Change Co) </t>
  </si>
  <si>
    <t xml:space="preserve">Start date </t>
  </si>
  <si>
    <t>Leadtime</t>
  </si>
  <si>
    <t>Finish date</t>
  </si>
  <si>
    <t>Leadtime
 (CW)</t>
  </si>
  <si>
    <t xml:space="preserve">Project / ECR: </t>
  </si>
  <si>
    <t>Project configuration</t>
  </si>
  <si>
    <t>QG0</t>
  </si>
  <si>
    <t>QG1</t>
  </si>
  <si>
    <t>QG4</t>
  </si>
  <si>
    <t>PIA-Workshop</t>
  </si>
  <si>
    <t xml:space="preserve">PGL Assessment III </t>
  </si>
  <si>
    <t>Release BPS for MAR</t>
  </si>
  <si>
    <t>MAR approved</t>
  </si>
  <si>
    <t>Kick-off ECR-Team</t>
  </si>
  <si>
    <t>Customer negotiation</t>
  </si>
  <si>
    <t xml:space="preserve">Team Review </t>
  </si>
  <si>
    <t>Design release</t>
  </si>
  <si>
    <t>Training  @ BMG6</t>
  </si>
  <si>
    <t>Pre-acceptance @ supplier site</t>
  </si>
  <si>
    <t>Dismantling</t>
  </si>
  <si>
    <t>Transport untill arrival in SlpP</t>
  </si>
  <si>
    <t>Area &amp; infrastructure @ SlpP</t>
  </si>
  <si>
    <t>SlpP area ready</t>
  </si>
  <si>
    <t>Commissioning</t>
  </si>
  <si>
    <t>Final acceptance</t>
  </si>
  <si>
    <t>Training @ SlpP</t>
  </si>
  <si>
    <t>PTR / 0-series</t>
  </si>
  <si>
    <t>P-FMEA</t>
  </si>
  <si>
    <t>CP</t>
  </si>
  <si>
    <t>MPF sheet</t>
  </si>
  <si>
    <t>Safe launch plan</t>
  </si>
  <si>
    <t>Parts tracking list</t>
  </si>
  <si>
    <t>Production release acc. MP-206.01</t>
  </si>
  <si>
    <t>int. SOP</t>
  </si>
  <si>
    <t>Measurement acc. Offer drawing</t>
  </si>
  <si>
    <t>PPAP documentation</t>
  </si>
  <si>
    <t>PV testing (more detailed description after commitment about strategy)</t>
  </si>
  <si>
    <t>PPAP to customer</t>
  </si>
  <si>
    <t>Customer release phase</t>
  </si>
  <si>
    <t>ext. SOP</t>
  </si>
  <si>
    <t>Safe launch incl. Ramp up support</t>
  </si>
  <si>
    <t>Milestone</t>
  </si>
  <si>
    <t>PJM</t>
  </si>
  <si>
    <t>CFT</t>
  </si>
  <si>
    <t>BPS Leadplant</t>
  </si>
  <si>
    <t>MFE SlpP</t>
  </si>
  <si>
    <t>ENG</t>
  </si>
  <si>
    <t>BMG</t>
  </si>
  <si>
    <t>QMM SlpP</t>
  </si>
  <si>
    <t>Business continuity of SlpP line (Spare parts)</t>
  </si>
  <si>
    <t>Kick off</t>
  </si>
  <si>
    <t>TEF design and refurbishment</t>
  </si>
  <si>
    <t>Prepare layout</t>
  </si>
  <si>
    <t>Shipping to SlpP</t>
  </si>
  <si>
    <t>Re-assembly</t>
  </si>
  <si>
    <t>Internal Release</t>
  </si>
  <si>
    <t>Customer Release</t>
  </si>
  <si>
    <t>PJM_relocation</t>
  </si>
  <si>
    <t>TEF NuP</t>
  </si>
  <si>
    <t>MFE SlpP / MFE NuP</t>
  </si>
  <si>
    <t>MFE NuP</t>
  </si>
  <si>
    <t>MFE SlpP / QMM SlpP / QMM NuP</t>
  </si>
  <si>
    <t>BPS</t>
  </si>
  <si>
    <t>Area ready to receive the stations</t>
  </si>
  <si>
    <t>Move Molding Shaft</t>
  </si>
  <si>
    <t>Move Cover Ramming (St65)</t>
  </si>
  <si>
    <t>Move Shaft C-Clip</t>
  </si>
  <si>
    <t>Move Manual Coupling Unit</t>
  </si>
  <si>
    <t>Move Coupling Unit (ST37) Current</t>
  </si>
  <si>
    <t>Install Coupling Unit (ST37) New</t>
  </si>
  <si>
    <t>Integration of SlpP types in Relocated Line</t>
  </si>
  <si>
    <t>Lines Comparison</t>
  </si>
  <si>
    <t xml:space="preserve">Stock building at Origin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</si>
</sst>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indent="3" readingOrder="1"/>
    </xf>
    <xf numFmtId="0" fontId="0" fillId="0" borderId="0" xfId="0" applyAlignment="1">
      <alignment horizontal="left" vertical="center" indent="3" readingOrder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vertical="top" readingOrder="1"/>
    </xf>
    <xf numFmtId="0" fontId="0" fillId="0" borderId="0" xfId="0" applyAlignment="1">
      <alignment horizontal="left" vertical="top" readingOrder="1"/>
    </xf>
    <xf numFmtId="0" fontId="0" fillId="0" borderId="0" xfId="0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68EA-8D7D-43D7-9AD0-2CD39F5BEEB6}">
  <dimension ref="A2:I32"/>
  <sheetViews>
    <sheetView workbookViewId="0">
      <selection activeCell="H24" sqref="H22:H24"/>
    </sheetView>
  </sheetViews>
  <sheetFormatPr defaultRowHeight="14.4" x14ac:dyDescent="0.3"/>
  <cols>
    <col min="2" max="2" width="24.109375" bestFit="1" customWidth="1"/>
  </cols>
  <sheetData>
    <row r="2" spans="1:9" ht="28.8" x14ac:dyDescent="0.3">
      <c r="B2" s="1" t="s">
        <v>0</v>
      </c>
      <c r="C2" s="1" t="s">
        <v>1</v>
      </c>
      <c r="D2" s="2" t="s">
        <v>67</v>
      </c>
      <c r="E2" s="6" t="s">
        <v>70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t="s">
        <v>3</v>
      </c>
    </row>
    <row r="4" spans="1:9" x14ac:dyDescent="0.3">
      <c r="A4">
        <v>2</v>
      </c>
      <c r="B4" t="s">
        <v>4</v>
      </c>
    </row>
    <row r="5" spans="1:9" x14ac:dyDescent="0.3">
      <c r="A5">
        <v>3</v>
      </c>
      <c r="B5" t="s">
        <v>5</v>
      </c>
    </row>
    <row r="6" spans="1:9" x14ac:dyDescent="0.3">
      <c r="A6">
        <v>4</v>
      </c>
      <c r="B6" t="s">
        <v>7</v>
      </c>
    </row>
    <row r="7" spans="1:9" x14ac:dyDescent="0.3">
      <c r="A7">
        <v>5</v>
      </c>
      <c r="B7" t="s">
        <v>6</v>
      </c>
    </row>
    <row r="8" spans="1:9" x14ac:dyDescent="0.3">
      <c r="A8">
        <v>6</v>
      </c>
      <c r="B8" t="s">
        <v>8</v>
      </c>
    </row>
    <row r="9" spans="1:9" x14ac:dyDescent="0.3">
      <c r="A9">
        <v>7</v>
      </c>
      <c r="B9" t="s">
        <v>11</v>
      </c>
    </row>
    <row r="10" spans="1:9" x14ac:dyDescent="0.3">
      <c r="A10">
        <v>8</v>
      </c>
      <c r="B10" t="s">
        <v>10</v>
      </c>
    </row>
    <row r="11" spans="1:9" x14ac:dyDescent="0.3">
      <c r="A11">
        <v>9</v>
      </c>
      <c r="B11" t="s">
        <v>9</v>
      </c>
    </row>
    <row r="12" spans="1:9" x14ac:dyDescent="0.3">
      <c r="A12">
        <v>10</v>
      </c>
      <c r="B12" t="s">
        <v>12</v>
      </c>
    </row>
    <row r="13" spans="1:9" x14ac:dyDescent="0.3">
      <c r="A13">
        <v>11</v>
      </c>
    </row>
    <row r="14" spans="1:9" x14ac:dyDescent="0.3">
      <c r="A14">
        <v>12</v>
      </c>
    </row>
    <row r="15" spans="1:9" x14ac:dyDescent="0.3">
      <c r="A15">
        <v>13</v>
      </c>
    </row>
    <row r="16" spans="1:9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C394-1959-41E2-A613-4B48B3676CB7}">
  <dimension ref="A2:I38"/>
  <sheetViews>
    <sheetView zoomScale="120" zoomScaleNormal="120" workbookViewId="0">
      <selection activeCell="B28" sqref="B28"/>
    </sheetView>
  </sheetViews>
  <sheetFormatPr defaultRowHeight="14.4" x14ac:dyDescent="0.3"/>
  <cols>
    <col min="2" max="2" width="44.109375" style="9" bestFit="1" customWidth="1"/>
    <col min="3" max="3" width="20.5546875" bestFit="1" customWidth="1"/>
    <col min="4" max="4" width="14.109375" style="3" customWidth="1"/>
    <col min="5" max="5" width="9.44140625" customWidth="1"/>
    <col min="6" max="6" width="11.5546875" style="3" customWidth="1"/>
  </cols>
  <sheetData>
    <row r="2" spans="1:9" ht="27.6" customHeight="1" x14ac:dyDescent="0.3">
      <c r="B2" s="1" t="s">
        <v>0</v>
      </c>
      <c r="C2" s="1" t="s">
        <v>1</v>
      </c>
      <c r="D2" s="2" t="s">
        <v>67</v>
      </c>
      <c r="E2" s="6" t="s">
        <v>70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7" t="s">
        <v>72</v>
      </c>
      <c r="C3" t="s">
        <v>109</v>
      </c>
      <c r="D3" s="10">
        <v>45884</v>
      </c>
      <c r="E3">
        <v>16</v>
      </c>
      <c r="F3" s="3">
        <v>45995</v>
      </c>
    </row>
    <row r="4" spans="1:9" x14ac:dyDescent="0.3">
      <c r="A4">
        <v>2</v>
      </c>
      <c r="B4" s="7" t="s">
        <v>73</v>
      </c>
      <c r="C4" t="s">
        <v>109</v>
      </c>
      <c r="D4" s="10">
        <v>46059</v>
      </c>
      <c r="E4" t="s">
        <v>108</v>
      </c>
    </row>
    <row r="5" spans="1:9" x14ac:dyDescent="0.3">
      <c r="A5">
        <v>3</v>
      </c>
      <c r="B5" s="7" t="s">
        <v>74</v>
      </c>
      <c r="C5" t="s">
        <v>109</v>
      </c>
      <c r="D5" s="10">
        <v>46128</v>
      </c>
      <c r="E5" t="s">
        <v>108</v>
      </c>
    </row>
    <row r="6" spans="1:9" x14ac:dyDescent="0.3">
      <c r="A6">
        <v>4</v>
      </c>
      <c r="B6" s="7" t="s">
        <v>75</v>
      </c>
      <c r="C6" t="s">
        <v>109</v>
      </c>
      <c r="D6" s="10">
        <v>46485</v>
      </c>
      <c r="E6" t="s">
        <v>108</v>
      </c>
    </row>
    <row r="7" spans="1:9" x14ac:dyDescent="0.3">
      <c r="A7">
        <v>5</v>
      </c>
      <c r="B7" s="7" t="s">
        <v>76</v>
      </c>
      <c r="C7" t="s">
        <v>109</v>
      </c>
      <c r="D7" s="10">
        <v>45936</v>
      </c>
      <c r="E7">
        <v>2</v>
      </c>
      <c r="F7" s="3">
        <v>45947</v>
      </c>
    </row>
    <row r="8" spans="1:9" x14ac:dyDescent="0.3">
      <c r="A8">
        <v>6</v>
      </c>
      <c r="B8" s="7" t="s">
        <v>77</v>
      </c>
      <c r="C8" t="s">
        <v>110</v>
      </c>
      <c r="D8" s="10">
        <v>46031</v>
      </c>
      <c r="E8" t="s">
        <v>108</v>
      </c>
    </row>
    <row r="9" spans="1:9" x14ac:dyDescent="0.3">
      <c r="A9">
        <v>7</v>
      </c>
      <c r="B9" s="7" t="s">
        <v>78</v>
      </c>
      <c r="C9" t="s">
        <v>111</v>
      </c>
      <c r="D9" s="10">
        <v>46036</v>
      </c>
      <c r="E9">
        <v>3</v>
      </c>
      <c r="F9" s="3">
        <v>46059</v>
      </c>
    </row>
    <row r="10" spans="1:9" x14ac:dyDescent="0.3">
      <c r="A10">
        <v>8</v>
      </c>
      <c r="B10" s="7" t="s">
        <v>79</v>
      </c>
      <c r="C10" t="s">
        <v>112</v>
      </c>
      <c r="D10" s="10">
        <v>46073</v>
      </c>
      <c r="E10" t="s">
        <v>108</v>
      </c>
    </row>
    <row r="11" spans="1:9" x14ac:dyDescent="0.3">
      <c r="A11">
        <v>9</v>
      </c>
      <c r="B11" s="7" t="s">
        <v>80</v>
      </c>
      <c r="C11" t="s">
        <v>115</v>
      </c>
      <c r="D11" s="10">
        <v>46055</v>
      </c>
      <c r="E11" t="s">
        <v>108</v>
      </c>
    </row>
    <row r="12" spans="1:9" x14ac:dyDescent="0.3">
      <c r="A12">
        <v>10</v>
      </c>
      <c r="B12" s="7" t="s">
        <v>81</v>
      </c>
      <c r="C12" t="s">
        <v>115</v>
      </c>
      <c r="D12" s="10">
        <v>46129</v>
      </c>
      <c r="E12">
        <v>6</v>
      </c>
      <c r="F12" s="3">
        <v>46172</v>
      </c>
    </row>
    <row r="13" spans="1:9" x14ac:dyDescent="0.3">
      <c r="A13">
        <v>11</v>
      </c>
      <c r="B13" s="7" t="s">
        <v>82</v>
      </c>
      <c r="C13" t="s">
        <v>110</v>
      </c>
      <c r="D13" s="10">
        <v>46149</v>
      </c>
      <c r="E13" t="s">
        <v>108</v>
      </c>
    </row>
    <row r="14" spans="1:9" x14ac:dyDescent="0.3">
      <c r="A14">
        <v>12</v>
      </c>
      <c r="B14" s="9" t="s">
        <v>83</v>
      </c>
      <c r="C14" t="s">
        <v>114</v>
      </c>
      <c r="D14" s="10">
        <v>46196</v>
      </c>
      <c r="E14" t="s">
        <v>108</v>
      </c>
    </row>
    <row r="15" spans="1:9" x14ac:dyDescent="0.3">
      <c r="A15">
        <v>13</v>
      </c>
      <c r="B15" s="9" t="s">
        <v>84</v>
      </c>
      <c r="C15" t="s">
        <v>114</v>
      </c>
      <c r="D15" s="10">
        <v>46335</v>
      </c>
      <c r="E15">
        <v>5</v>
      </c>
      <c r="F15" s="3">
        <v>46367</v>
      </c>
    </row>
    <row r="16" spans="1:9" x14ac:dyDescent="0.3">
      <c r="A16">
        <v>14</v>
      </c>
      <c r="B16" s="9" t="s">
        <v>85</v>
      </c>
      <c r="C16" t="s">
        <v>112</v>
      </c>
      <c r="D16" s="10">
        <v>46349</v>
      </c>
      <c r="E16">
        <v>3</v>
      </c>
      <c r="F16" s="3">
        <v>46367</v>
      </c>
    </row>
    <row r="17" spans="1:6" x14ac:dyDescent="0.3">
      <c r="A17">
        <v>15</v>
      </c>
      <c r="B17" s="9" t="s">
        <v>86</v>
      </c>
      <c r="C17" t="s">
        <v>114</v>
      </c>
      <c r="D17" s="10">
        <v>46370</v>
      </c>
      <c r="E17">
        <v>1</v>
      </c>
      <c r="F17" s="3">
        <v>46378</v>
      </c>
    </row>
    <row r="18" spans="1:6" x14ac:dyDescent="0.3">
      <c r="A18">
        <v>16</v>
      </c>
      <c r="B18" s="9" t="s">
        <v>87</v>
      </c>
      <c r="C18" t="s">
        <v>112</v>
      </c>
      <c r="D18" s="10">
        <v>46378</v>
      </c>
      <c r="E18">
        <v>7</v>
      </c>
      <c r="F18" s="3">
        <v>46429</v>
      </c>
    </row>
    <row r="19" spans="1:6" x14ac:dyDescent="0.3">
      <c r="A19">
        <v>17</v>
      </c>
      <c r="B19" s="9" t="s">
        <v>88</v>
      </c>
      <c r="C19" t="s">
        <v>112</v>
      </c>
      <c r="D19" s="10">
        <v>46196</v>
      </c>
      <c r="E19">
        <v>26</v>
      </c>
      <c r="F19" s="3">
        <v>46376</v>
      </c>
    </row>
    <row r="20" spans="1:6" x14ac:dyDescent="0.3">
      <c r="A20">
        <v>18</v>
      </c>
      <c r="B20" s="9" t="s">
        <v>89</v>
      </c>
      <c r="C20" t="s">
        <v>112</v>
      </c>
      <c r="D20" s="10">
        <v>46376</v>
      </c>
      <c r="E20" t="s">
        <v>108</v>
      </c>
    </row>
    <row r="21" spans="1:6" x14ac:dyDescent="0.3">
      <c r="A21">
        <v>19</v>
      </c>
      <c r="B21" s="9" t="s">
        <v>90</v>
      </c>
      <c r="C21" t="s">
        <v>114</v>
      </c>
      <c r="D21" s="10">
        <v>46430</v>
      </c>
      <c r="E21">
        <v>6</v>
      </c>
      <c r="F21" s="3">
        <v>46472</v>
      </c>
    </row>
    <row r="22" spans="1:6" x14ac:dyDescent="0.3">
      <c r="A22">
        <v>20</v>
      </c>
      <c r="B22" s="9" t="s">
        <v>91</v>
      </c>
      <c r="C22" t="s">
        <v>112</v>
      </c>
      <c r="D22" s="10">
        <v>46472</v>
      </c>
      <c r="E22">
        <v>2</v>
      </c>
      <c r="F22" s="3">
        <v>46486</v>
      </c>
    </row>
    <row r="23" spans="1:6" x14ac:dyDescent="0.3">
      <c r="A23">
        <v>21</v>
      </c>
      <c r="B23" s="9" t="s">
        <v>92</v>
      </c>
      <c r="C23" t="s">
        <v>114</v>
      </c>
      <c r="D23" s="10">
        <v>46430</v>
      </c>
      <c r="E23">
        <v>8</v>
      </c>
      <c r="F23" s="3">
        <v>46486</v>
      </c>
    </row>
    <row r="24" spans="1:6" x14ac:dyDescent="0.3">
      <c r="A24">
        <v>22</v>
      </c>
      <c r="B24" s="9" t="s">
        <v>93</v>
      </c>
      <c r="C24" t="s">
        <v>112</v>
      </c>
      <c r="D24" s="10">
        <v>46486</v>
      </c>
      <c r="E24">
        <v>2</v>
      </c>
      <c r="F24" s="3">
        <v>46500</v>
      </c>
    </row>
    <row r="25" spans="1:6" x14ac:dyDescent="0.3">
      <c r="A25">
        <v>23</v>
      </c>
      <c r="B25" s="9" t="s">
        <v>94</v>
      </c>
      <c r="C25" t="s">
        <v>112</v>
      </c>
      <c r="D25" s="10">
        <v>46296</v>
      </c>
      <c r="E25" t="s">
        <v>108</v>
      </c>
    </row>
    <row r="26" spans="1:6" x14ac:dyDescent="0.3">
      <c r="A26">
        <v>24</v>
      </c>
      <c r="B26" s="9" t="s">
        <v>95</v>
      </c>
      <c r="C26" t="s">
        <v>112</v>
      </c>
      <c r="D26" s="10">
        <v>46344</v>
      </c>
      <c r="E26" t="s">
        <v>108</v>
      </c>
    </row>
    <row r="27" spans="1:6" x14ac:dyDescent="0.3">
      <c r="A27">
        <v>25</v>
      </c>
      <c r="B27" s="9" t="s">
        <v>96</v>
      </c>
      <c r="C27" t="s">
        <v>112</v>
      </c>
      <c r="D27" s="10">
        <v>46150</v>
      </c>
      <c r="E27" t="s">
        <v>108</v>
      </c>
    </row>
    <row r="28" spans="1:6" x14ac:dyDescent="0.3">
      <c r="A28">
        <v>26</v>
      </c>
      <c r="B28" s="9" t="s">
        <v>97</v>
      </c>
      <c r="C28" t="s">
        <v>115</v>
      </c>
      <c r="D28" s="10">
        <v>46164</v>
      </c>
      <c r="E28" t="s">
        <v>108</v>
      </c>
    </row>
    <row r="29" spans="1:6" x14ac:dyDescent="0.3">
      <c r="A29">
        <v>27</v>
      </c>
      <c r="B29" s="9" t="s">
        <v>98</v>
      </c>
      <c r="C29" t="s">
        <v>112</v>
      </c>
      <c r="D29" s="10">
        <v>46129</v>
      </c>
      <c r="E29" t="s">
        <v>108</v>
      </c>
    </row>
    <row r="30" spans="1:6" x14ac:dyDescent="0.3">
      <c r="A30">
        <v>28</v>
      </c>
      <c r="B30" s="9" t="s">
        <v>99</v>
      </c>
      <c r="C30" t="s">
        <v>112</v>
      </c>
      <c r="D30" s="10">
        <v>46486</v>
      </c>
      <c r="E30">
        <v>3</v>
      </c>
      <c r="F30" s="3">
        <v>46508</v>
      </c>
    </row>
    <row r="31" spans="1:6" x14ac:dyDescent="0.3">
      <c r="A31">
        <v>29</v>
      </c>
      <c r="B31" s="9" t="s">
        <v>100</v>
      </c>
      <c r="C31" t="s">
        <v>112</v>
      </c>
      <c r="D31" s="10">
        <v>46509</v>
      </c>
      <c r="E31" t="s">
        <v>108</v>
      </c>
    </row>
    <row r="32" spans="1:6" x14ac:dyDescent="0.3">
      <c r="A32">
        <v>30</v>
      </c>
      <c r="B32" s="9" t="s">
        <v>101</v>
      </c>
      <c r="C32" t="s">
        <v>112</v>
      </c>
      <c r="D32" s="10">
        <v>46500</v>
      </c>
      <c r="E32">
        <v>2</v>
      </c>
      <c r="F32" s="3">
        <v>46514</v>
      </c>
    </row>
    <row r="33" spans="1:6" x14ac:dyDescent="0.3">
      <c r="A33">
        <v>31</v>
      </c>
      <c r="B33" s="9" t="s">
        <v>102</v>
      </c>
      <c r="C33" t="s">
        <v>115</v>
      </c>
      <c r="D33" s="10">
        <v>46500</v>
      </c>
      <c r="E33">
        <v>2</v>
      </c>
      <c r="F33" s="3">
        <v>46514</v>
      </c>
    </row>
    <row r="34" spans="1:6" x14ac:dyDescent="0.3">
      <c r="A34">
        <v>32</v>
      </c>
      <c r="B34" s="9" t="s">
        <v>103</v>
      </c>
      <c r="C34" t="s">
        <v>113</v>
      </c>
      <c r="D34" s="10">
        <v>46500</v>
      </c>
      <c r="E34">
        <v>6</v>
      </c>
      <c r="F34" s="3">
        <v>46542</v>
      </c>
    </row>
    <row r="35" spans="1:6" x14ac:dyDescent="0.3">
      <c r="A35">
        <v>33</v>
      </c>
      <c r="B35" s="9" t="s">
        <v>104</v>
      </c>
      <c r="C35" t="s">
        <v>115</v>
      </c>
      <c r="D35" s="10">
        <v>46543</v>
      </c>
      <c r="E35" t="s">
        <v>108</v>
      </c>
    </row>
    <row r="36" spans="1:6" x14ac:dyDescent="0.3">
      <c r="A36">
        <v>34</v>
      </c>
      <c r="B36" s="9" t="s">
        <v>105</v>
      </c>
      <c r="C36" t="s">
        <v>112</v>
      </c>
      <c r="D36" s="10">
        <v>46543</v>
      </c>
      <c r="E36">
        <v>4</v>
      </c>
      <c r="F36" s="3">
        <v>46571</v>
      </c>
    </row>
    <row r="37" spans="1:6" x14ac:dyDescent="0.3">
      <c r="A37">
        <v>35</v>
      </c>
      <c r="B37" s="9" t="s">
        <v>106</v>
      </c>
      <c r="C37" t="s">
        <v>112</v>
      </c>
      <c r="D37" s="10">
        <v>46571</v>
      </c>
      <c r="E37" t="s">
        <v>108</v>
      </c>
    </row>
    <row r="38" spans="1:6" x14ac:dyDescent="0.3">
      <c r="A38">
        <v>36</v>
      </c>
      <c r="B38" s="9" t="s">
        <v>107</v>
      </c>
      <c r="C38" t="s">
        <v>115</v>
      </c>
      <c r="D38" s="10">
        <v>46571</v>
      </c>
      <c r="E38">
        <v>4</v>
      </c>
      <c r="F38" s="3">
        <v>46599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E54D-43A6-4F1F-B2CA-086D9DC69277}">
  <dimension ref="A2:I62"/>
  <sheetViews>
    <sheetView zoomScale="120" zoomScaleNormal="120" workbookViewId="0">
      <selection activeCell="A14" sqref="A14"/>
    </sheetView>
  </sheetViews>
  <sheetFormatPr defaultRowHeight="14.4" x14ac:dyDescent="0.3"/>
  <cols>
    <col min="2" max="2" width="44.109375" style="9" bestFit="1" customWidth="1"/>
    <col min="3" max="3" width="20.5546875" bestFit="1" customWidth="1"/>
    <col min="4" max="4" width="14.109375" style="3" customWidth="1"/>
    <col min="5" max="5" width="9.44140625" customWidth="1"/>
    <col min="6" max="6" width="11.5546875" style="3" customWidth="1"/>
  </cols>
  <sheetData>
    <row r="2" spans="1:9" ht="27.6" customHeight="1" x14ac:dyDescent="0.3">
      <c r="B2" s="1" t="s">
        <v>0</v>
      </c>
      <c r="C2" s="1" t="s">
        <v>1</v>
      </c>
      <c r="D2" s="2" t="s">
        <v>67</v>
      </c>
      <c r="E2" s="6" t="s">
        <v>70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7" t="s">
        <v>138</v>
      </c>
      <c r="C3" t="s">
        <v>110</v>
      </c>
      <c r="D3" s="10">
        <v>45839</v>
      </c>
      <c r="E3">
        <f>ROUND(_xlfn.DAYS(F3,D3)/7,0)</f>
        <v>13</v>
      </c>
      <c r="F3" s="3">
        <v>45930</v>
      </c>
    </row>
    <row r="4" spans="1:9" x14ac:dyDescent="0.3">
      <c r="A4">
        <v>2</v>
      </c>
      <c r="B4" s="7" t="s">
        <v>116</v>
      </c>
      <c r="C4" t="s">
        <v>112</v>
      </c>
      <c r="D4" s="10">
        <v>45931</v>
      </c>
      <c r="E4">
        <f>ROUND(_xlfn.DAYS(F4,D4)/7,0)</f>
        <v>26</v>
      </c>
      <c r="F4" s="3">
        <v>46112</v>
      </c>
    </row>
    <row r="5" spans="1:9" x14ac:dyDescent="0.3">
      <c r="A5">
        <v>3</v>
      </c>
      <c r="B5" s="7" t="s">
        <v>117</v>
      </c>
      <c r="C5" t="s">
        <v>124</v>
      </c>
      <c r="D5" s="10">
        <v>46113</v>
      </c>
      <c r="E5">
        <f>ROUND(_xlfn.DAYS(F5,D5)/7,0)</f>
        <v>13</v>
      </c>
      <c r="F5" s="3">
        <v>46203</v>
      </c>
    </row>
    <row r="6" spans="1:9" x14ac:dyDescent="0.3">
      <c r="A6">
        <v>4</v>
      </c>
      <c r="B6" s="7" t="s">
        <v>118</v>
      </c>
      <c r="C6" t="s">
        <v>125</v>
      </c>
      <c r="D6" s="10">
        <v>46204</v>
      </c>
      <c r="E6">
        <f t="shared" ref="E6:E13" si="0">ROUND(_xlfn.DAYS(F6,D6)/7,0)</f>
        <v>52</v>
      </c>
      <c r="F6" s="3">
        <v>46568</v>
      </c>
    </row>
    <row r="7" spans="1:9" x14ac:dyDescent="0.3">
      <c r="A7">
        <v>5</v>
      </c>
      <c r="B7" s="7" t="s">
        <v>137</v>
      </c>
      <c r="C7" t="s">
        <v>126</v>
      </c>
      <c r="D7" s="10">
        <v>46113</v>
      </c>
      <c r="E7">
        <f t="shared" si="0"/>
        <v>26</v>
      </c>
      <c r="F7" s="3">
        <v>46295</v>
      </c>
    </row>
    <row r="8" spans="1:9" x14ac:dyDescent="0.3">
      <c r="A8">
        <v>6</v>
      </c>
      <c r="B8" s="7" t="s">
        <v>119</v>
      </c>
      <c r="C8" t="s">
        <v>112</v>
      </c>
      <c r="D8" s="10">
        <v>46296</v>
      </c>
      <c r="E8">
        <f t="shared" si="0"/>
        <v>26</v>
      </c>
      <c r="F8" s="3">
        <v>46478</v>
      </c>
    </row>
    <row r="9" spans="1:9" x14ac:dyDescent="0.3">
      <c r="A9">
        <v>7</v>
      </c>
      <c r="B9" s="7" t="s">
        <v>139</v>
      </c>
      <c r="C9" t="s">
        <v>127</v>
      </c>
      <c r="D9" s="10">
        <v>46569</v>
      </c>
      <c r="E9">
        <f t="shared" si="0"/>
        <v>13</v>
      </c>
      <c r="F9" s="3">
        <v>46660</v>
      </c>
    </row>
    <row r="10" spans="1:9" x14ac:dyDescent="0.3">
      <c r="A10">
        <v>8</v>
      </c>
      <c r="B10" s="7" t="s">
        <v>120</v>
      </c>
      <c r="C10" t="s">
        <v>127</v>
      </c>
      <c r="D10" s="10">
        <v>46661</v>
      </c>
      <c r="E10">
        <f t="shared" si="0"/>
        <v>13</v>
      </c>
      <c r="F10" s="3">
        <v>46752</v>
      </c>
    </row>
    <row r="11" spans="1:9" x14ac:dyDescent="0.3">
      <c r="A11">
        <v>9</v>
      </c>
      <c r="B11" s="7" t="s">
        <v>121</v>
      </c>
      <c r="C11" t="s">
        <v>126</v>
      </c>
      <c r="D11" s="10">
        <v>46753</v>
      </c>
      <c r="E11">
        <f t="shared" si="0"/>
        <v>13</v>
      </c>
      <c r="F11" s="3">
        <v>46843</v>
      </c>
    </row>
    <row r="12" spans="1:9" x14ac:dyDescent="0.3">
      <c r="A12">
        <v>10</v>
      </c>
      <c r="B12" s="7" t="s">
        <v>122</v>
      </c>
      <c r="C12" t="s">
        <v>112</v>
      </c>
      <c r="D12" s="10">
        <v>46844</v>
      </c>
      <c r="E12">
        <f t="shared" si="0"/>
        <v>26</v>
      </c>
      <c r="F12" s="3">
        <v>47026</v>
      </c>
    </row>
    <row r="13" spans="1:9" x14ac:dyDescent="0.3">
      <c r="A13">
        <v>11</v>
      </c>
      <c r="B13" s="7" t="s">
        <v>123</v>
      </c>
      <c r="C13" t="s">
        <v>128</v>
      </c>
      <c r="D13" s="10">
        <v>46935</v>
      </c>
      <c r="E13">
        <f t="shared" si="0"/>
        <v>26</v>
      </c>
      <c r="F13" s="3">
        <v>47118</v>
      </c>
    </row>
    <row r="14" spans="1:9" x14ac:dyDescent="0.3">
      <c r="B14" s="7"/>
      <c r="D14" s="10"/>
    </row>
    <row r="15" spans="1:9" x14ac:dyDescent="0.3">
      <c r="B15" s="8"/>
      <c r="D15" s="10"/>
    </row>
    <row r="16" spans="1:9" x14ac:dyDescent="0.3">
      <c r="B16" s="7"/>
      <c r="D16" s="10"/>
    </row>
    <row r="17" spans="2:4" x14ac:dyDescent="0.3">
      <c r="B17" s="7"/>
      <c r="D17" s="10"/>
    </row>
    <row r="18" spans="2:4" x14ac:dyDescent="0.3">
      <c r="B18" s="7"/>
      <c r="D18" s="10"/>
    </row>
    <row r="19" spans="2:4" x14ac:dyDescent="0.3">
      <c r="B19" s="7"/>
      <c r="D19" s="10"/>
    </row>
    <row r="20" spans="2:4" x14ac:dyDescent="0.3">
      <c r="B20" s="7"/>
      <c r="D20" s="10"/>
    </row>
    <row r="21" spans="2:4" x14ac:dyDescent="0.3">
      <c r="B21" s="7"/>
      <c r="D21" s="10"/>
    </row>
    <row r="22" spans="2:4" x14ac:dyDescent="0.3">
      <c r="B22" s="7"/>
      <c r="D22" s="10"/>
    </row>
    <row r="23" spans="2:4" x14ac:dyDescent="0.3">
      <c r="B23" s="7"/>
      <c r="D23" s="10"/>
    </row>
    <row r="24" spans="2:4" x14ac:dyDescent="0.3">
      <c r="B24" s="7"/>
      <c r="D24" s="10"/>
    </row>
    <row r="25" spans="2:4" x14ac:dyDescent="0.3">
      <c r="B25" s="7"/>
      <c r="D25" s="10"/>
    </row>
    <row r="26" spans="2:4" x14ac:dyDescent="0.3">
      <c r="B26" s="7"/>
      <c r="D26" s="10"/>
    </row>
    <row r="27" spans="2:4" x14ac:dyDescent="0.3">
      <c r="B27" s="7"/>
      <c r="D27" s="10"/>
    </row>
    <row r="28" spans="2:4" x14ac:dyDescent="0.3">
      <c r="B28" s="7"/>
      <c r="D28" s="10"/>
    </row>
    <row r="29" spans="2:4" x14ac:dyDescent="0.3">
      <c r="D29" s="10"/>
    </row>
    <row r="30" spans="2:4" x14ac:dyDescent="0.3">
      <c r="D30" s="10"/>
    </row>
    <row r="31" spans="2:4" x14ac:dyDescent="0.3">
      <c r="D31" s="10"/>
    </row>
    <row r="32" spans="2:4" x14ac:dyDescent="0.3">
      <c r="D32" s="10"/>
    </row>
    <row r="33" spans="4:4" x14ac:dyDescent="0.3">
      <c r="D33" s="10"/>
    </row>
    <row r="34" spans="4:4" x14ac:dyDescent="0.3">
      <c r="D34" s="10"/>
    </row>
    <row r="35" spans="4:4" x14ac:dyDescent="0.3">
      <c r="D35" s="10"/>
    </row>
    <row r="36" spans="4:4" x14ac:dyDescent="0.3">
      <c r="D36" s="10"/>
    </row>
    <row r="37" spans="4:4" x14ac:dyDescent="0.3">
      <c r="D37" s="10"/>
    </row>
    <row r="38" spans="4:4" x14ac:dyDescent="0.3">
      <c r="D38" s="10"/>
    </row>
    <row r="39" spans="4:4" x14ac:dyDescent="0.3">
      <c r="D39" s="10"/>
    </row>
    <row r="40" spans="4:4" x14ac:dyDescent="0.3">
      <c r="D40" s="10"/>
    </row>
    <row r="41" spans="4:4" x14ac:dyDescent="0.3">
      <c r="D41" s="10"/>
    </row>
    <row r="42" spans="4:4" x14ac:dyDescent="0.3">
      <c r="D42" s="10"/>
    </row>
    <row r="43" spans="4:4" x14ac:dyDescent="0.3">
      <c r="D43" s="10"/>
    </row>
    <row r="44" spans="4:4" x14ac:dyDescent="0.3">
      <c r="D44" s="10"/>
    </row>
    <row r="45" spans="4:4" x14ac:dyDescent="0.3">
      <c r="D45" s="10"/>
    </row>
    <row r="46" spans="4:4" x14ac:dyDescent="0.3">
      <c r="D46" s="10"/>
    </row>
    <row r="47" spans="4:4" x14ac:dyDescent="0.3">
      <c r="D47" s="10"/>
    </row>
    <row r="48" spans="4:4" x14ac:dyDescent="0.3">
      <c r="D48" s="10"/>
    </row>
    <row r="49" spans="4:4" x14ac:dyDescent="0.3">
      <c r="D49" s="10"/>
    </row>
    <row r="50" spans="4:4" x14ac:dyDescent="0.3">
      <c r="D50" s="10"/>
    </row>
    <row r="51" spans="4:4" x14ac:dyDescent="0.3">
      <c r="D51" s="10"/>
    </row>
    <row r="52" spans="4:4" x14ac:dyDescent="0.3">
      <c r="D52" s="10"/>
    </row>
    <row r="53" spans="4:4" x14ac:dyDescent="0.3">
      <c r="D53" s="10"/>
    </row>
    <row r="54" spans="4:4" x14ac:dyDescent="0.3">
      <c r="D54" s="10"/>
    </row>
    <row r="55" spans="4:4" x14ac:dyDescent="0.3">
      <c r="D55" s="10"/>
    </row>
    <row r="56" spans="4:4" x14ac:dyDescent="0.3">
      <c r="D56" s="10"/>
    </row>
    <row r="57" spans="4:4" x14ac:dyDescent="0.3">
      <c r="D57" s="10"/>
    </row>
    <row r="58" spans="4:4" x14ac:dyDescent="0.3">
      <c r="D58" s="10"/>
    </row>
    <row r="59" spans="4:4" x14ac:dyDescent="0.3">
      <c r="D59" s="10"/>
    </row>
    <row r="60" spans="4:4" x14ac:dyDescent="0.3">
      <c r="D60" s="10"/>
    </row>
    <row r="61" spans="4:4" x14ac:dyDescent="0.3">
      <c r="D61" s="10"/>
    </row>
    <row r="62" spans="4:4" x14ac:dyDescent="0.3">
      <c r="D62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0708-64C2-4FE4-9F1D-F1D4094FC2E6}">
  <dimension ref="A2:I63"/>
  <sheetViews>
    <sheetView tabSelected="1" zoomScale="120" zoomScaleNormal="120" workbookViewId="0">
      <selection activeCell="D14" sqref="D14"/>
    </sheetView>
  </sheetViews>
  <sheetFormatPr defaultRowHeight="14.4" x14ac:dyDescent="0.3"/>
  <cols>
    <col min="2" max="2" width="45.6640625" style="9" bestFit="1" customWidth="1"/>
    <col min="3" max="3" width="20.5546875" bestFit="1" customWidth="1"/>
    <col min="4" max="4" width="14.109375" style="3" customWidth="1"/>
    <col min="5" max="5" width="9.44140625" customWidth="1"/>
    <col min="6" max="6" width="11.5546875" style="3" customWidth="1"/>
  </cols>
  <sheetData>
    <row r="2" spans="1:9" ht="27.6" customHeight="1" x14ac:dyDescent="0.3">
      <c r="B2" s="1" t="s">
        <v>0</v>
      </c>
      <c r="C2" s="1" t="s">
        <v>1</v>
      </c>
      <c r="D2" s="2" t="s">
        <v>67</v>
      </c>
      <c r="E2" s="6" t="s">
        <v>70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7" t="s">
        <v>130</v>
      </c>
      <c r="C3" t="s">
        <v>129</v>
      </c>
      <c r="D3" s="10">
        <v>46038</v>
      </c>
      <c r="E3" t="str">
        <f t="shared" ref="E3:E10" si="0">IF(ROUND(_xlfn.DAYS(F3,D3)/7,0)=0,"Milestone",ROUND(_xlfn.DAYS(F3,D3)/7,0))</f>
        <v>Milestone</v>
      </c>
      <c r="F3" s="10">
        <v>46038</v>
      </c>
    </row>
    <row r="4" spans="1:9" x14ac:dyDescent="0.3">
      <c r="A4">
        <v>2</v>
      </c>
      <c r="B4" s="7" t="s">
        <v>117</v>
      </c>
      <c r="C4" t="s">
        <v>129</v>
      </c>
      <c r="D4" s="10">
        <v>46041</v>
      </c>
      <c r="E4" t="str">
        <f t="shared" si="0"/>
        <v>Milestone</v>
      </c>
      <c r="F4" s="10">
        <v>46041</v>
      </c>
    </row>
    <row r="5" spans="1:9" x14ac:dyDescent="0.3">
      <c r="A5">
        <v>3</v>
      </c>
      <c r="B5" s="7" t="s">
        <v>131</v>
      </c>
      <c r="C5" t="s">
        <v>129</v>
      </c>
      <c r="D5" s="10">
        <v>46213</v>
      </c>
      <c r="E5" t="str">
        <f t="shared" si="0"/>
        <v>Milestone</v>
      </c>
      <c r="F5" s="10">
        <v>46213</v>
      </c>
    </row>
    <row r="6" spans="1:9" x14ac:dyDescent="0.3">
      <c r="A6">
        <v>4</v>
      </c>
      <c r="B6" s="7" t="s">
        <v>136</v>
      </c>
      <c r="C6" t="s">
        <v>129</v>
      </c>
      <c r="D6" s="10">
        <f>D4+7</f>
        <v>46048</v>
      </c>
      <c r="E6" t="str">
        <f t="shared" si="0"/>
        <v>Milestone</v>
      </c>
      <c r="F6" s="10">
        <f>F4+7</f>
        <v>46048</v>
      </c>
    </row>
    <row r="7" spans="1:9" x14ac:dyDescent="0.3">
      <c r="A7">
        <v>5</v>
      </c>
      <c r="B7" s="7" t="s">
        <v>135</v>
      </c>
      <c r="C7" t="s">
        <v>129</v>
      </c>
      <c r="D7" s="10">
        <v>46251</v>
      </c>
      <c r="E7" t="str">
        <f t="shared" si="0"/>
        <v>Milestone</v>
      </c>
      <c r="F7" s="10">
        <v>46251</v>
      </c>
    </row>
    <row r="8" spans="1:9" x14ac:dyDescent="0.3">
      <c r="A8">
        <v>6</v>
      </c>
      <c r="B8" s="7" t="s">
        <v>132</v>
      </c>
      <c r="C8" t="s">
        <v>129</v>
      </c>
      <c r="D8" s="10">
        <v>46295</v>
      </c>
      <c r="E8" t="str">
        <f t="shared" si="0"/>
        <v>Milestone</v>
      </c>
      <c r="F8" s="10">
        <v>46295</v>
      </c>
    </row>
    <row r="9" spans="1:9" x14ac:dyDescent="0.3">
      <c r="A9">
        <v>7</v>
      </c>
      <c r="B9" s="7" t="s">
        <v>133</v>
      </c>
      <c r="C9" t="s">
        <v>129</v>
      </c>
      <c r="D9" s="10">
        <v>46346</v>
      </c>
      <c r="E9" t="str">
        <f t="shared" si="0"/>
        <v>Milestone</v>
      </c>
      <c r="F9" s="10">
        <v>46346</v>
      </c>
    </row>
    <row r="10" spans="1:9" x14ac:dyDescent="0.3">
      <c r="A10">
        <v>8</v>
      </c>
      <c r="B10" s="7" t="s">
        <v>134</v>
      </c>
      <c r="C10" t="s">
        <v>129</v>
      </c>
      <c r="D10" s="10">
        <v>46346</v>
      </c>
      <c r="E10" t="str">
        <f t="shared" si="0"/>
        <v>Milestone</v>
      </c>
      <c r="F10" s="10">
        <v>46346</v>
      </c>
    </row>
    <row r="11" spans="1:9" x14ac:dyDescent="0.3">
      <c r="A11">
        <v>9</v>
      </c>
      <c r="B11" s="7"/>
      <c r="D11" s="10"/>
      <c r="F11" s="10"/>
    </row>
    <row r="12" spans="1:9" x14ac:dyDescent="0.3">
      <c r="A12">
        <v>10</v>
      </c>
      <c r="B12" s="7"/>
      <c r="D12" s="10"/>
      <c r="F12" s="10"/>
    </row>
    <row r="13" spans="1:9" x14ac:dyDescent="0.3">
      <c r="A13">
        <v>11</v>
      </c>
      <c r="B13" s="7"/>
      <c r="D13" s="10"/>
      <c r="F13" s="10"/>
    </row>
    <row r="14" spans="1:9" x14ac:dyDescent="0.3">
      <c r="A14">
        <v>12</v>
      </c>
      <c r="B14" s="7"/>
      <c r="D14" s="10"/>
      <c r="F14" s="10"/>
    </row>
    <row r="15" spans="1:9" x14ac:dyDescent="0.3">
      <c r="A15">
        <v>13</v>
      </c>
      <c r="B15" s="7"/>
      <c r="D15" s="10"/>
      <c r="F15" s="10"/>
    </row>
    <row r="16" spans="1:9" x14ac:dyDescent="0.3">
      <c r="A16">
        <v>14</v>
      </c>
      <c r="B16" s="7"/>
      <c r="D16" s="10"/>
      <c r="F16" s="10"/>
    </row>
    <row r="17" spans="1:6" x14ac:dyDescent="0.3">
      <c r="A17">
        <v>15</v>
      </c>
      <c r="B17" s="7"/>
      <c r="D17" s="10"/>
      <c r="F17" s="10"/>
    </row>
    <row r="18" spans="1:6" x14ac:dyDescent="0.3">
      <c r="A18">
        <v>16</v>
      </c>
      <c r="B18" s="7"/>
      <c r="D18" s="10"/>
      <c r="F18" s="10"/>
    </row>
    <row r="19" spans="1:6" x14ac:dyDescent="0.3">
      <c r="A19">
        <v>17</v>
      </c>
      <c r="B19" s="7"/>
      <c r="D19" s="10"/>
      <c r="F19" s="10"/>
    </row>
    <row r="20" spans="1:6" x14ac:dyDescent="0.3">
      <c r="A20">
        <v>18</v>
      </c>
      <c r="B20" s="7"/>
      <c r="D20" s="10"/>
      <c r="F20" s="10"/>
    </row>
    <row r="21" spans="1:6" x14ac:dyDescent="0.3">
      <c r="A21">
        <v>19</v>
      </c>
      <c r="B21" s="7"/>
      <c r="D21" s="10"/>
      <c r="F21" s="10"/>
    </row>
    <row r="22" spans="1:6" x14ac:dyDescent="0.3">
      <c r="A22">
        <v>20</v>
      </c>
      <c r="B22" s="7"/>
      <c r="D22" s="10"/>
      <c r="F22" s="10"/>
    </row>
    <row r="23" spans="1:6" x14ac:dyDescent="0.3">
      <c r="A23">
        <v>21</v>
      </c>
      <c r="B23" s="7"/>
      <c r="D23" s="10"/>
      <c r="F23" s="10"/>
    </row>
    <row r="24" spans="1:6" x14ac:dyDescent="0.3">
      <c r="A24">
        <v>22</v>
      </c>
      <c r="B24" s="7"/>
      <c r="D24" s="10"/>
      <c r="F24" s="10"/>
    </row>
    <row r="25" spans="1:6" x14ac:dyDescent="0.3">
      <c r="A25">
        <v>23</v>
      </c>
      <c r="B25" s="7"/>
      <c r="D25" s="10"/>
    </row>
    <row r="26" spans="1:6" x14ac:dyDescent="0.3">
      <c r="A26">
        <v>24</v>
      </c>
      <c r="B26" s="7"/>
      <c r="D26" s="10"/>
    </row>
    <row r="27" spans="1:6" x14ac:dyDescent="0.3">
      <c r="A27">
        <v>25</v>
      </c>
      <c r="B27" s="7"/>
      <c r="D27" s="10"/>
    </row>
    <row r="28" spans="1:6" x14ac:dyDescent="0.3">
      <c r="A28">
        <v>26</v>
      </c>
      <c r="B28" s="7"/>
      <c r="D28" s="10"/>
    </row>
    <row r="29" spans="1:6" x14ac:dyDescent="0.3">
      <c r="A29">
        <v>27</v>
      </c>
      <c r="B29" s="7"/>
      <c r="D29" s="10"/>
    </row>
    <row r="30" spans="1:6" x14ac:dyDescent="0.3">
      <c r="A30">
        <v>28</v>
      </c>
      <c r="D30" s="10"/>
    </row>
    <row r="31" spans="1:6" x14ac:dyDescent="0.3">
      <c r="A31">
        <v>29</v>
      </c>
      <c r="D31" s="10"/>
    </row>
    <row r="32" spans="1:6" x14ac:dyDescent="0.3">
      <c r="A32">
        <v>30</v>
      </c>
      <c r="D32" s="10"/>
    </row>
    <row r="33" spans="1:4" x14ac:dyDescent="0.3">
      <c r="A33">
        <v>31</v>
      </c>
      <c r="D33" s="10"/>
    </row>
    <row r="34" spans="1:4" x14ac:dyDescent="0.3">
      <c r="A34">
        <v>32</v>
      </c>
      <c r="D34" s="10"/>
    </row>
    <row r="35" spans="1:4" x14ac:dyDescent="0.3">
      <c r="A35">
        <v>33</v>
      </c>
      <c r="D35" s="10"/>
    </row>
    <row r="36" spans="1:4" x14ac:dyDescent="0.3">
      <c r="A36">
        <v>34</v>
      </c>
      <c r="D36" s="10"/>
    </row>
    <row r="37" spans="1:4" x14ac:dyDescent="0.3">
      <c r="A37">
        <v>35</v>
      </c>
      <c r="D37" s="10"/>
    </row>
    <row r="38" spans="1:4" x14ac:dyDescent="0.3">
      <c r="A38">
        <v>36</v>
      </c>
      <c r="D38" s="10"/>
    </row>
    <row r="39" spans="1:4" x14ac:dyDescent="0.3">
      <c r="A39">
        <v>37</v>
      </c>
      <c r="D39" s="10"/>
    </row>
    <row r="40" spans="1:4" x14ac:dyDescent="0.3">
      <c r="A40">
        <v>38</v>
      </c>
      <c r="D40" s="10"/>
    </row>
    <row r="41" spans="1:4" x14ac:dyDescent="0.3">
      <c r="A41">
        <v>39</v>
      </c>
      <c r="D41" s="10"/>
    </row>
    <row r="42" spans="1:4" x14ac:dyDescent="0.3">
      <c r="A42">
        <v>40</v>
      </c>
      <c r="D42" s="10"/>
    </row>
    <row r="43" spans="1:4" x14ac:dyDescent="0.3">
      <c r="A43">
        <v>41</v>
      </c>
      <c r="D43" s="10"/>
    </row>
    <row r="44" spans="1:4" x14ac:dyDescent="0.3">
      <c r="A44">
        <v>42</v>
      </c>
      <c r="D44" s="10"/>
    </row>
    <row r="45" spans="1:4" x14ac:dyDescent="0.3">
      <c r="A45">
        <v>43</v>
      </c>
      <c r="D45" s="10"/>
    </row>
    <row r="46" spans="1:4" x14ac:dyDescent="0.3">
      <c r="A46">
        <v>44</v>
      </c>
      <c r="D46" s="10"/>
    </row>
    <row r="47" spans="1:4" x14ac:dyDescent="0.3">
      <c r="A47">
        <v>45</v>
      </c>
      <c r="D47" s="10"/>
    </row>
    <row r="48" spans="1:4" x14ac:dyDescent="0.3">
      <c r="A48">
        <v>46</v>
      </c>
      <c r="D48" s="10"/>
    </row>
    <row r="49" spans="1:4" x14ac:dyDescent="0.3">
      <c r="A49">
        <v>47</v>
      </c>
      <c r="D49" s="10"/>
    </row>
    <row r="50" spans="1:4" x14ac:dyDescent="0.3">
      <c r="A50">
        <v>48</v>
      </c>
      <c r="D50" s="10"/>
    </row>
    <row r="51" spans="1:4" x14ac:dyDescent="0.3">
      <c r="A51">
        <v>49</v>
      </c>
      <c r="D51" s="10"/>
    </row>
    <row r="52" spans="1:4" x14ac:dyDescent="0.3">
      <c r="A52">
        <v>50</v>
      </c>
      <c r="D52" s="10"/>
    </row>
    <row r="53" spans="1:4" x14ac:dyDescent="0.3">
      <c r="A53">
        <v>51</v>
      </c>
      <c r="D53" s="10"/>
    </row>
    <row r="54" spans="1:4" x14ac:dyDescent="0.3">
      <c r="A54">
        <v>52</v>
      </c>
      <c r="D54" s="10"/>
    </row>
    <row r="55" spans="1:4" x14ac:dyDescent="0.3">
      <c r="A55">
        <v>53</v>
      </c>
      <c r="D55" s="10"/>
    </row>
    <row r="56" spans="1:4" x14ac:dyDescent="0.3">
      <c r="A56">
        <v>54</v>
      </c>
      <c r="D56" s="10"/>
    </row>
    <row r="57" spans="1:4" x14ac:dyDescent="0.3">
      <c r="A57">
        <v>55</v>
      </c>
      <c r="D57" s="10"/>
    </row>
    <row r="58" spans="1:4" x14ac:dyDescent="0.3">
      <c r="A58">
        <v>56</v>
      </c>
      <c r="D58" s="10"/>
    </row>
    <row r="59" spans="1:4" x14ac:dyDescent="0.3">
      <c r="A59">
        <v>57</v>
      </c>
      <c r="D59" s="10"/>
    </row>
    <row r="60" spans="1:4" x14ac:dyDescent="0.3">
      <c r="A60">
        <v>58</v>
      </c>
      <c r="D60" s="10"/>
    </row>
    <row r="61" spans="1:4" x14ac:dyDescent="0.3">
      <c r="A61">
        <v>59</v>
      </c>
      <c r="D61" s="10"/>
    </row>
    <row r="62" spans="1:4" x14ac:dyDescent="0.3">
      <c r="A62">
        <v>60</v>
      </c>
      <c r="D62" s="10"/>
    </row>
    <row r="63" spans="1:4" x14ac:dyDescent="0.3">
      <c r="A63">
        <v>61</v>
      </c>
      <c r="D63" s="10"/>
    </row>
  </sheetData>
  <sortState xmlns:xlrd2="http://schemas.microsoft.com/office/spreadsheetml/2017/richdata2" ref="B3:I10">
    <sortCondition ref="D3:D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1A05-1B51-44DA-A647-42FFDC18F32F}">
  <dimension ref="A1:I29"/>
  <sheetViews>
    <sheetView zoomScale="120" zoomScaleNormal="120" workbookViewId="0">
      <selection activeCell="D12" sqref="D12"/>
    </sheetView>
  </sheetViews>
  <sheetFormatPr defaultRowHeight="14.4" x14ac:dyDescent="0.3"/>
  <cols>
    <col min="1" max="1" width="8.88671875" customWidth="1"/>
    <col min="2" max="2" width="35.44140625" bestFit="1" customWidth="1"/>
    <col min="3" max="3" width="20.5546875" bestFit="1" customWidth="1"/>
    <col min="4" max="4" width="11.5546875" style="3" customWidth="1"/>
    <col min="5" max="5" width="9.44140625" customWidth="1"/>
    <col min="6" max="6" width="11.5546875" style="3" customWidth="1"/>
  </cols>
  <sheetData>
    <row r="1" spans="1:9" x14ac:dyDescent="0.3">
      <c r="B1" t="s">
        <v>71</v>
      </c>
    </row>
    <row r="2" spans="1:9" ht="27.6" customHeight="1" x14ac:dyDescent="0.3">
      <c r="B2" s="1" t="s">
        <v>0</v>
      </c>
      <c r="C2" s="1" t="s">
        <v>1</v>
      </c>
      <c r="D2" s="2" t="s">
        <v>67</v>
      </c>
      <c r="E2" s="6" t="s">
        <v>70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4" t="s">
        <v>40</v>
      </c>
      <c r="C3" t="s">
        <v>14</v>
      </c>
    </row>
    <row r="4" spans="1:9" x14ac:dyDescent="0.3">
      <c r="A4">
        <v>2</v>
      </c>
      <c r="B4" s="4" t="s">
        <v>36</v>
      </c>
      <c r="C4" t="s">
        <v>15</v>
      </c>
    </row>
    <row r="5" spans="1:9" x14ac:dyDescent="0.3">
      <c r="A5">
        <v>3</v>
      </c>
      <c r="B5" s="4" t="s">
        <v>41</v>
      </c>
      <c r="C5" t="s">
        <v>16</v>
      </c>
    </row>
    <row r="6" spans="1:9" x14ac:dyDescent="0.3">
      <c r="A6">
        <v>4</v>
      </c>
      <c r="B6" s="4" t="s">
        <v>37</v>
      </c>
      <c r="C6" t="s">
        <v>17</v>
      </c>
    </row>
    <row r="7" spans="1:9" x14ac:dyDescent="0.3">
      <c r="A7">
        <v>5</v>
      </c>
      <c r="B7" s="4" t="s">
        <v>38</v>
      </c>
      <c r="C7" t="s">
        <v>18</v>
      </c>
    </row>
    <row r="8" spans="1:9" x14ac:dyDescent="0.3">
      <c r="A8">
        <v>6</v>
      </c>
      <c r="B8" s="4" t="s">
        <v>42</v>
      </c>
      <c r="C8" t="s">
        <v>19</v>
      </c>
    </row>
    <row r="9" spans="1:9" x14ac:dyDescent="0.3">
      <c r="A9">
        <v>7</v>
      </c>
      <c r="B9" s="4" t="s">
        <v>43</v>
      </c>
      <c r="C9" t="s">
        <v>20</v>
      </c>
    </row>
    <row r="10" spans="1:9" x14ac:dyDescent="0.3">
      <c r="A10">
        <v>8</v>
      </c>
      <c r="B10" s="4" t="s">
        <v>44</v>
      </c>
      <c r="C10" t="s">
        <v>21</v>
      </c>
    </row>
    <row r="11" spans="1:9" x14ac:dyDescent="0.3">
      <c r="A11">
        <v>9</v>
      </c>
      <c r="B11" s="4" t="s">
        <v>45</v>
      </c>
      <c r="C11" t="s">
        <v>21</v>
      </c>
    </row>
    <row r="12" spans="1:9" x14ac:dyDescent="0.3">
      <c r="A12">
        <v>10</v>
      </c>
      <c r="B12" s="4" t="s">
        <v>46</v>
      </c>
      <c r="C12" t="s">
        <v>22</v>
      </c>
    </row>
    <row r="13" spans="1:9" x14ac:dyDescent="0.3">
      <c r="A13">
        <v>11</v>
      </c>
      <c r="B13" s="4" t="s">
        <v>47</v>
      </c>
      <c r="C13" t="s">
        <v>23</v>
      </c>
    </row>
    <row r="14" spans="1:9" x14ac:dyDescent="0.3">
      <c r="A14">
        <v>12</v>
      </c>
      <c r="B14" s="4" t="s">
        <v>48</v>
      </c>
      <c r="C14" t="s">
        <v>24</v>
      </c>
    </row>
    <row r="15" spans="1:9" x14ac:dyDescent="0.3">
      <c r="A15">
        <v>13</v>
      </c>
      <c r="B15" s="5" t="s">
        <v>49</v>
      </c>
      <c r="C15" t="s">
        <v>24</v>
      </c>
    </row>
    <row r="16" spans="1:9" x14ac:dyDescent="0.3">
      <c r="A16">
        <v>14</v>
      </c>
      <c r="B16" s="4" t="s">
        <v>50</v>
      </c>
      <c r="C16" t="s">
        <v>25</v>
      </c>
    </row>
    <row r="17" spans="1:3" x14ac:dyDescent="0.3">
      <c r="A17">
        <v>15</v>
      </c>
      <c r="B17" s="4" t="s">
        <v>51</v>
      </c>
      <c r="C17" t="s">
        <v>26</v>
      </c>
    </row>
    <row r="18" spans="1:3" x14ac:dyDescent="0.3">
      <c r="A18">
        <v>16</v>
      </c>
      <c r="B18" s="4" t="s">
        <v>52</v>
      </c>
      <c r="C18" t="s">
        <v>27</v>
      </c>
    </row>
    <row r="19" spans="1:3" x14ac:dyDescent="0.3">
      <c r="A19">
        <v>17</v>
      </c>
      <c r="B19" s="4" t="s">
        <v>53</v>
      </c>
      <c r="C19" t="s">
        <v>28</v>
      </c>
    </row>
    <row r="20" spans="1:3" x14ac:dyDescent="0.3">
      <c r="A20">
        <v>18</v>
      </c>
      <c r="B20" s="4" t="s">
        <v>54</v>
      </c>
      <c r="C20" t="s">
        <v>29</v>
      </c>
    </row>
    <row r="21" spans="1:3" x14ac:dyDescent="0.3">
      <c r="A21">
        <v>19</v>
      </c>
      <c r="B21" s="4" t="s">
        <v>55</v>
      </c>
      <c r="C21" t="s">
        <v>30</v>
      </c>
    </row>
    <row r="22" spans="1:3" x14ac:dyDescent="0.3">
      <c r="A22">
        <v>20</v>
      </c>
      <c r="B22" s="4" t="s">
        <v>56</v>
      </c>
      <c r="C22" t="s">
        <v>31</v>
      </c>
    </row>
    <row r="23" spans="1:3" x14ac:dyDescent="0.3">
      <c r="A23">
        <v>21</v>
      </c>
      <c r="B23" s="4" t="s">
        <v>57</v>
      </c>
      <c r="C23" t="s">
        <v>32</v>
      </c>
    </row>
    <row r="24" spans="1:3" x14ac:dyDescent="0.3">
      <c r="A24">
        <v>22</v>
      </c>
      <c r="B24" s="4" t="s">
        <v>62</v>
      </c>
      <c r="C24" t="s">
        <v>21</v>
      </c>
    </row>
    <row r="25" spans="1:3" x14ac:dyDescent="0.3">
      <c r="A25">
        <v>23</v>
      </c>
      <c r="B25" s="4" t="s">
        <v>39</v>
      </c>
      <c r="C25" t="s">
        <v>33</v>
      </c>
    </row>
    <row r="26" spans="1:3" x14ac:dyDescent="0.3">
      <c r="A26">
        <v>24</v>
      </c>
      <c r="B26" s="4" t="s">
        <v>58</v>
      </c>
      <c r="C26" t="s">
        <v>33</v>
      </c>
    </row>
    <row r="27" spans="1:3" x14ac:dyDescent="0.3">
      <c r="A27">
        <v>25</v>
      </c>
      <c r="B27" s="4" t="s">
        <v>59</v>
      </c>
      <c r="C27" t="s">
        <v>16</v>
      </c>
    </row>
    <row r="28" spans="1:3" x14ac:dyDescent="0.3">
      <c r="A28">
        <v>26</v>
      </c>
      <c r="B28" s="4" t="s">
        <v>60</v>
      </c>
      <c r="C28" t="s">
        <v>34</v>
      </c>
    </row>
    <row r="29" spans="1:3" x14ac:dyDescent="0.3">
      <c r="A29">
        <v>27</v>
      </c>
      <c r="B29" s="4" t="s">
        <v>61</v>
      </c>
      <c r="C29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3F94-20F9-45B2-BCD3-40F300923A6E}">
  <dimension ref="A2:I30"/>
  <sheetViews>
    <sheetView zoomScale="120" zoomScaleNormal="120" workbookViewId="0">
      <selection activeCell="D12" sqref="D12"/>
    </sheetView>
  </sheetViews>
  <sheetFormatPr defaultRowHeight="14.4" x14ac:dyDescent="0.3"/>
  <cols>
    <col min="2" max="2" width="35.44140625" bestFit="1" customWidth="1"/>
    <col min="3" max="3" width="20.5546875" bestFit="1" customWidth="1"/>
    <col min="4" max="4" width="11.5546875" style="3" customWidth="1"/>
    <col min="5" max="5" width="11.5546875" customWidth="1"/>
    <col min="6" max="6" width="11.5546875" style="3" customWidth="1"/>
  </cols>
  <sheetData>
    <row r="2" spans="1:9" x14ac:dyDescent="0.3">
      <c r="B2" s="1" t="s">
        <v>0</v>
      </c>
      <c r="C2" s="1" t="s">
        <v>1</v>
      </c>
      <c r="D2" s="2" t="s">
        <v>67</v>
      </c>
      <c r="E2" s="1" t="s">
        <v>68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4" t="s">
        <v>40</v>
      </c>
      <c r="C3" t="s">
        <v>14</v>
      </c>
      <c r="F3" s="3" t="str">
        <f>IF(ISBLANK(D3)=TRUE,"",(D3+(E3*7)))</f>
        <v/>
      </c>
    </row>
    <row r="4" spans="1:9" x14ac:dyDescent="0.3">
      <c r="A4">
        <v>2</v>
      </c>
      <c r="B4" s="4" t="s">
        <v>36</v>
      </c>
      <c r="C4" t="s">
        <v>15</v>
      </c>
      <c r="F4" s="3" t="str">
        <f t="shared" ref="F4:F29" si="0">IF(ISBLANK(D4)=TRUE,"",(D4+(E4*7)))</f>
        <v/>
      </c>
    </row>
    <row r="5" spans="1:9" x14ac:dyDescent="0.3">
      <c r="A5">
        <v>3</v>
      </c>
      <c r="B5" s="4" t="s">
        <v>41</v>
      </c>
      <c r="C5" t="s">
        <v>16</v>
      </c>
      <c r="F5" s="3" t="str">
        <f t="shared" si="0"/>
        <v/>
      </c>
    </row>
    <row r="6" spans="1:9" x14ac:dyDescent="0.3">
      <c r="A6">
        <v>4</v>
      </c>
      <c r="B6" s="4" t="s">
        <v>42</v>
      </c>
      <c r="C6" t="s">
        <v>19</v>
      </c>
      <c r="F6" s="3" t="str">
        <f t="shared" si="0"/>
        <v/>
      </c>
    </row>
    <row r="7" spans="1:9" x14ac:dyDescent="0.3">
      <c r="A7">
        <v>5</v>
      </c>
      <c r="B7" s="4" t="s">
        <v>43</v>
      </c>
      <c r="C7" t="s">
        <v>20</v>
      </c>
      <c r="F7" s="3" t="str">
        <f t="shared" si="0"/>
        <v/>
      </c>
    </row>
    <row r="8" spans="1:9" x14ac:dyDescent="0.3">
      <c r="A8">
        <v>6</v>
      </c>
      <c r="B8" s="4" t="s">
        <v>44</v>
      </c>
      <c r="C8" t="s">
        <v>21</v>
      </c>
      <c r="F8" s="3" t="str">
        <f t="shared" si="0"/>
        <v/>
      </c>
    </row>
    <row r="9" spans="1:9" x14ac:dyDescent="0.3">
      <c r="A9">
        <v>7</v>
      </c>
      <c r="B9" s="4" t="s">
        <v>45</v>
      </c>
      <c r="C9" t="s">
        <v>21</v>
      </c>
      <c r="F9" s="3" t="str">
        <f t="shared" si="0"/>
        <v/>
      </c>
    </row>
    <row r="10" spans="1:9" x14ac:dyDescent="0.3">
      <c r="A10">
        <v>8</v>
      </c>
      <c r="B10" s="4" t="s">
        <v>46</v>
      </c>
      <c r="C10" t="s">
        <v>22</v>
      </c>
      <c r="F10" s="3" t="str">
        <f t="shared" si="0"/>
        <v/>
      </c>
    </row>
    <row r="11" spans="1:9" x14ac:dyDescent="0.3">
      <c r="A11">
        <v>9</v>
      </c>
      <c r="B11" s="4" t="s">
        <v>47</v>
      </c>
      <c r="C11" t="s">
        <v>23</v>
      </c>
      <c r="F11" s="3" t="str">
        <f t="shared" si="0"/>
        <v/>
      </c>
    </row>
    <row r="12" spans="1:9" x14ac:dyDescent="0.3">
      <c r="A12">
        <v>10</v>
      </c>
      <c r="B12" s="4" t="s">
        <v>50</v>
      </c>
      <c r="C12" t="s">
        <v>24</v>
      </c>
      <c r="F12" s="3" t="str">
        <f t="shared" si="0"/>
        <v/>
      </c>
    </row>
    <row r="13" spans="1:9" x14ac:dyDescent="0.3">
      <c r="A13">
        <v>11</v>
      </c>
      <c r="B13" s="4" t="s">
        <v>51</v>
      </c>
      <c r="C13" t="s">
        <v>26</v>
      </c>
      <c r="F13" s="3" t="str">
        <f t="shared" si="0"/>
        <v/>
      </c>
    </row>
    <row r="14" spans="1:9" x14ac:dyDescent="0.3">
      <c r="A14">
        <v>12</v>
      </c>
      <c r="B14" s="4" t="s">
        <v>53</v>
      </c>
      <c r="C14" t="s">
        <v>28</v>
      </c>
      <c r="F14" s="3" t="str">
        <f t="shared" si="0"/>
        <v/>
      </c>
    </row>
    <row r="15" spans="1:9" x14ac:dyDescent="0.3">
      <c r="A15">
        <v>13</v>
      </c>
      <c r="B15" s="4" t="s">
        <v>55</v>
      </c>
      <c r="C15" t="s">
        <v>30</v>
      </c>
      <c r="F15" s="3" t="str">
        <f t="shared" si="0"/>
        <v/>
      </c>
    </row>
    <row r="16" spans="1:9" x14ac:dyDescent="0.3">
      <c r="A16">
        <v>14</v>
      </c>
      <c r="B16" s="4" t="s">
        <v>62</v>
      </c>
      <c r="C16" t="s">
        <v>21</v>
      </c>
      <c r="F16" s="3" t="str">
        <f t="shared" si="0"/>
        <v/>
      </c>
    </row>
    <row r="17" spans="1:6" x14ac:dyDescent="0.3">
      <c r="A17">
        <v>15</v>
      </c>
      <c r="B17" s="4" t="s">
        <v>39</v>
      </c>
      <c r="C17" t="s">
        <v>33</v>
      </c>
      <c r="F17" s="3" t="str">
        <f t="shared" si="0"/>
        <v/>
      </c>
    </row>
    <row r="18" spans="1:6" x14ac:dyDescent="0.3">
      <c r="A18">
        <v>16</v>
      </c>
      <c r="B18" s="4" t="s">
        <v>58</v>
      </c>
      <c r="C18" t="s">
        <v>33</v>
      </c>
      <c r="F18" s="3" t="str">
        <f t="shared" si="0"/>
        <v/>
      </c>
    </row>
    <row r="19" spans="1:6" x14ac:dyDescent="0.3">
      <c r="A19">
        <v>17</v>
      </c>
      <c r="B19" s="4" t="s">
        <v>59</v>
      </c>
      <c r="C19" t="s">
        <v>16</v>
      </c>
      <c r="F19" s="3" t="str">
        <f t="shared" si="0"/>
        <v/>
      </c>
    </row>
    <row r="20" spans="1:6" x14ac:dyDescent="0.3">
      <c r="A20">
        <v>18</v>
      </c>
      <c r="B20" s="4" t="s">
        <v>60</v>
      </c>
      <c r="C20" t="s">
        <v>34</v>
      </c>
      <c r="F20" s="3" t="str">
        <f t="shared" si="0"/>
        <v/>
      </c>
    </row>
    <row r="21" spans="1:6" x14ac:dyDescent="0.3">
      <c r="A21">
        <v>19</v>
      </c>
      <c r="B21" s="4" t="s">
        <v>61</v>
      </c>
      <c r="C21" t="s">
        <v>35</v>
      </c>
      <c r="F21" s="3" t="str">
        <f t="shared" si="0"/>
        <v/>
      </c>
    </row>
    <row r="22" spans="1:6" x14ac:dyDescent="0.3">
      <c r="B22" s="4"/>
      <c r="F22" s="3" t="str">
        <f t="shared" si="0"/>
        <v/>
      </c>
    </row>
    <row r="23" spans="1:6" x14ac:dyDescent="0.3">
      <c r="B23" s="4"/>
      <c r="F23" s="3" t="str">
        <f t="shared" si="0"/>
        <v/>
      </c>
    </row>
    <row r="24" spans="1:6" x14ac:dyDescent="0.3">
      <c r="B24" s="4"/>
      <c r="F24" s="3" t="str">
        <f t="shared" si="0"/>
        <v/>
      </c>
    </row>
    <row r="25" spans="1:6" x14ac:dyDescent="0.3">
      <c r="B25" s="4"/>
      <c r="F25" s="3" t="str">
        <f t="shared" si="0"/>
        <v/>
      </c>
    </row>
    <row r="26" spans="1:6" x14ac:dyDescent="0.3">
      <c r="B26" s="4"/>
      <c r="F26" s="3" t="str">
        <f t="shared" si="0"/>
        <v/>
      </c>
    </row>
    <row r="27" spans="1:6" x14ac:dyDescent="0.3">
      <c r="B27" s="4"/>
      <c r="F27" s="3" t="str">
        <f t="shared" si="0"/>
        <v/>
      </c>
    </row>
    <row r="28" spans="1:6" x14ac:dyDescent="0.3">
      <c r="B28" s="4"/>
      <c r="F28" s="3" t="str">
        <f t="shared" si="0"/>
        <v/>
      </c>
    </row>
    <row r="29" spans="1:6" x14ac:dyDescent="0.3">
      <c r="B29" s="4"/>
      <c r="F29" s="3" t="str">
        <f t="shared" si="0"/>
        <v/>
      </c>
    </row>
    <row r="30" spans="1:6" x14ac:dyDescent="0.3">
      <c r="B3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CC74-99C2-4DBC-B5DB-BBE4297B0884}">
  <dimension ref="A2:I29"/>
  <sheetViews>
    <sheetView zoomScale="120" zoomScaleNormal="120" workbookViewId="0">
      <selection activeCell="D12" sqref="D12"/>
    </sheetView>
  </sheetViews>
  <sheetFormatPr defaultRowHeight="14.4" x14ac:dyDescent="0.3"/>
  <cols>
    <col min="2" max="2" width="35.44140625" bestFit="1" customWidth="1"/>
    <col min="3" max="3" width="20" bestFit="1" customWidth="1"/>
    <col min="4" max="4" width="11.5546875" style="3" customWidth="1"/>
    <col min="5" max="5" width="11.5546875" customWidth="1"/>
    <col min="6" max="6" width="11.5546875" style="3" customWidth="1"/>
  </cols>
  <sheetData>
    <row r="2" spans="1:9" x14ac:dyDescent="0.3">
      <c r="B2" s="1" t="s">
        <v>0</v>
      </c>
      <c r="C2" s="1" t="s">
        <v>1</v>
      </c>
      <c r="D2" s="2" t="s">
        <v>67</v>
      </c>
      <c r="E2" s="1" t="s">
        <v>68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4" t="s">
        <v>36</v>
      </c>
      <c r="C3" t="s">
        <v>15</v>
      </c>
      <c r="F3" s="3" t="str">
        <f>IF(ISBLANK(D3)=TRUE,"",(D3+(E3*7)))</f>
        <v/>
      </c>
    </row>
    <row r="4" spans="1:9" x14ac:dyDescent="0.3">
      <c r="A4">
        <v>2</v>
      </c>
      <c r="B4" s="4" t="s">
        <v>41</v>
      </c>
      <c r="C4" t="s">
        <v>16</v>
      </c>
      <c r="F4" s="3" t="str">
        <f t="shared" ref="F4:F29" si="0">IF(ISBLANK(D4)=TRUE,"",(D4+(E4*7)))</f>
        <v/>
      </c>
    </row>
    <row r="5" spans="1:9" x14ac:dyDescent="0.3">
      <c r="A5">
        <v>3</v>
      </c>
      <c r="B5" s="4" t="s">
        <v>63</v>
      </c>
      <c r="C5" t="s">
        <v>64</v>
      </c>
      <c r="F5" s="3" t="str">
        <f t="shared" si="0"/>
        <v/>
      </c>
    </row>
    <row r="6" spans="1:9" x14ac:dyDescent="0.3">
      <c r="A6">
        <v>4</v>
      </c>
      <c r="B6" s="4" t="s">
        <v>55</v>
      </c>
      <c r="C6" t="s">
        <v>65</v>
      </c>
      <c r="F6" s="3" t="str">
        <f t="shared" si="0"/>
        <v/>
      </c>
    </row>
    <row r="7" spans="1:9" x14ac:dyDescent="0.3">
      <c r="A7">
        <v>5</v>
      </c>
      <c r="B7" s="4" t="s">
        <v>60</v>
      </c>
      <c r="C7" t="s">
        <v>34</v>
      </c>
      <c r="F7" s="3" t="str">
        <f t="shared" si="0"/>
        <v/>
      </c>
    </row>
    <row r="8" spans="1:9" x14ac:dyDescent="0.3">
      <c r="A8">
        <v>6</v>
      </c>
      <c r="B8" s="4" t="s">
        <v>61</v>
      </c>
      <c r="C8" t="s">
        <v>66</v>
      </c>
      <c r="F8" s="3" t="str">
        <f t="shared" si="0"/>
        <v/>
      </c>
    </row>
    <row r="9" spans="1:9" x14ac:dyDescent="0.3">
      <c r="B9" s="4"/>
      <c r="F9" s="3" t="str">
        <f t="shared" si="0"/>
        <v/>
      </c>
    </row>
    <row r="10" spans="1:9" x14ac:dyDescent="0.3">
      <c r="B10" s="4"/>
      <c r="F10" s="3" t="str">
        <f t="shared" si="0"/>
        <v/>
      </c>
    </row>
    <row r="11" spans="1:9" x14ac:dyDescent="0.3">
      <c r="B11" s="4"/>
      <c r="F11" s="3" t="str">
        <f t="shared" si="0"/>
        <v/>
      </c>
    </row>
    <row r="12" spans="1:9" x14ac:dyDescent="0.3">
      <c r="B12" s="4"/>
      <c r="F12" s="3" t="str">
        <f t="shared" si="0"/>
        <v/>
      </c>
    </row>
    <row r="13" spans="1:9" x14ac:dyDescent="0.3">
      <c r="B13" s="4"/>
      <c r="F13" s="3" t="str">
        <f t="shared" si="0"/>
        <v/>
      </c>
    </row>
    <row r="14" spans="1:9" x14ac:dyDescent="0.3">
      <c r="B14" s="4"/>
      <c r="F14" s="3" t="str">
        <f t="shared" si="0"/>
        <v/>
      </c>
    </row>
    <row r="15" spans="1:9" x14ac:dyDescent="0.3">
      <c r="B15" s="4"/>
      <c r="F15" s="3" t="str">
        <f t="shared" si="0"/>
        <v/>
      </c>
    </row>
    <row r="16" spans="1:9" x14ac:dyDescent="0.3">
      <c r="B16" s="4"/>
      <c r="F16" s="3" t="str">
        <f t="shared" si="0"/>
        <v/>
      </c>
    </row>
    <row r="17" spans="2:6" x14ac:dyDescent="0.3">
      <c r="B17" s="4"/>
      <c r="F17" s="3" t="str">
        <f t="shared" si="0"/>
        <v/>
      </c>
    </row>
    <row r="18" spans="2:6" x14ac:dyDescent="0.3">
      <c r="F18" s="3" t="str">
        <f t="shared" si="0"/>
        <v/>
      </c>
    </row>
    <row r="19" spans="2:6" x14ac:dyDescent="0.3">
      <c r="F19" s="3" t="str">
        <f t="shared" si="0"/>
        <v/>
      </c>
    </row>
    <row r="20" spans="2:6" x14ac:dyDescent="0.3">
      <c r="F20" s="3" t="str">
        <f t="shared" si="0"/>
        <v/>
      </c>
    </row>
    <row r="21" spans="2:6" x14ac:dyDescent="0.3">
      <c r="F21" s="3" t="str">
        <f t="shared" si="0"/>
        <v/>
      </c>
    </row>
    <row r="22" spans="2:6" x14ac:dyDescent="0.3">
      <c r="F22" s="3" t="str">
        <f t="shared" si="0"/>
        <v/>
      </c>
    </row>
    <row r="23" spans="2:6" x14ac:dyDescent="0.3">
      <c r="F23" s="3" t="str">
        <f t="shared" si="0"/>
        <v/>
      </c>
    </row>
    <row r="24" spans="2:6" x14ac:dyDescent="0.3">
      <c r="F24" s="3" t="str">
        <f t="shared" si="0"/>
        <v/>
      </c>
    </row>
    <row r="25" spans="2:6" x14ac:dyDescent="0.3">
      <c r="F25" s="3" t="str">
        <f t="shared" si="0"/>
        <v/>
      </c>
    </row>
    <row r="26" spans="2:6" x14ac:dyDescent="0.3">
      <c r="F26" s="3" t="str">
        <f t="shared" si="0"/>
        <v/>
      </c>
    </row>
    <row r="27" spans="2:6" x14ac:dyDescent="0.3">
      <c r="F27" s="3" t="str">
        <f t="shared" si="0"/>
        <v/>
      </c>
    </row>
    <row r="28" spans="2:6" x14ac:dyDescent="0.3">
      <c r="F28" s="3" t="str">
        <f t="shared" si="0"/>
        <v/>
      </c>
    </row>
    <row r="29" spans="2:6" x14ac:dyDescent="0.3">
      <c r="F29" s="3" t="str">
        <f t="shared" si="0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24AC-4459-43D2-B58B-5282F735F5F7}">
  <dimension ref="A2:I29"/>
  <sheetViews>
    <sheetView zoomScale="120" zoomScaleNormal="120" workbookViewId="0">
      <selection activeCell="D12" sqref="D12"/>
    </sheetView>
  </sheetViews>
  <sheetFormatPr defaultRowHeight="14.4" x14ac:dyDescent="0.3"/>
  <cols>
    <col min="2" max="2" width="35.44140625" bestFit="1" customWidth="1"/>
    <col min="3" max="3" width="20" bestFit="1" customWidth="1"/>
    <col min="4" max="4" width="11.5546875" style="3" customWidth="1"/>
    <col min="5" max="5" width="11.5546875" customWidth="1"/>
    <col min="6" max="6" width="11.5546875" style="3" customWidth="1"/>
  </cols>
  <sheetData>
    <row r="2" spans="1:9" x14ac:dyDescent="0.3">
      <c r="B2" s="1" t="s">
        <v>0</v>
      </c>
      <c r="C2" s="1" t="s">
        <v>1</v>
      </c>
      <c r="D2" s="2" t="s">
        <v>67</v>
      </c>
      <c r="E2" s="1" t="s">
        <v>68</v>
      </c>
      <c r="F2" s="2" t="s">
        <v>69</v>
      </c>
      <c r="G2" s="1" t="s">
        <v>2</v>
      </c>
      <c r="H2" s="1" t="s">
        <v>13</v>
      </c>
      <c r="I2" s="1"/>
    </row>
    <row r="3" spans="1:9" x14ac:dyDescent="0.3">
      <c r="A3">
        <v>1</v>
      </c>
      <c r="B3" s="4" t="s">
        <v>40</v>
      </c>
      <c r="C3" t="s">
        <v>14</v>
      </c>
      <c r="F3" s="3" t="str">
        <f>IF(ISBLANK(D3)=TRUE,"",(D3+(E3*7)))</f>
        <v/>
      </c>
    </row>
    <row r="4" spans="1:9" x14ac:dyDescent="0.3">
      <c r="A4">
        <v>2</v>
      </c>
      <c r="B4" s="4" t="s">
        <v>36</v>
      </c>
      <c r="C4" t="s">
        <v>15</v>
      </c>
      <c r="F4" s="3" t="str">
        <f t="shared" ref="F4:F29" si="0">IF(ISBLANK(D4)=TRUE,"",(D4+(E4*7)))</f>
        <v/>
      </c>
    </row>
    <row r="5" spans="1:9" x14ac:dyDescent="0.3">
      <c r="A5">
        <v>3</v>
      </c>
      <c r="B5" s="4" t="s">
        <v>41</v>
      </c>
      <c r="C5" t="s">
        <v>16</v>
      </c>
      <c r="F5" s="3" t="str">
        <f t="shared" si="0"/>
        <v/>
      </c>
    </row>
    <row r="6" spans="1:9" x14ac:dyDescent="0.3">
      <c r="A6">
        <v>4</v>
      </c>
      <c r="B6" s="4" t="s">
        <v>37</v>
      </c>
      <c r="C6" t="s">
        <v>17</v>
      </c>
      <c r="F6" s="3" t="str">
        <f t="shared" si="0"/>
        <v/>
      </c>
    </row>
    <row r="7" spans="1:9" x14ac:dyDescent="0.3">
      <c r="A7">
        <v>5</v>
      </c>
      <c r="B7" s="4" t="s">
        <v>38</v>
      </c>
      <c r="C7" t="s">
        <v>18</v>
      </c>
      <c r="F7" s="3" t="str">
        <f t="shared" si="0"/>
        <v/>
      </c>
    </row>
    <row r="8" spans="1:9" x14ac:dyDescent="0.3">
      <c r="A8">
        <v>6</v>
      </c>
      <c r="B8" s="4" t="s">
        <v>42</v>
      </c>
      <c r="C8" t="s">
        <v>19</v>
      </c>
      <c r="F8" s="3" t="str">
        <f t="shared" si="0"/>
        <v/>
      </c>
    </row>
    <row r="9" spans="1:9" x14ac:dyDescent="0.3">
      <c r="A9">
        <v>7</v>
      </c>
      <c r="B9" s="4" t="s">
        <v>43</v>
      </c>
      <c r="C9" t="s">
        <v>20</v>
      </c>
      <c r="F9" s="3" t="str">
        <f t="shared" si="0"/>
        <v/>
      </c>
    </row>
    <row r="10" spans="1:9" x14ac:dyDescent="0.3">
      <c r="A10">
        <v>8</v>
      </c>
      <c r="B10" s="4" t="s">
        <v>44</v>
      </c>
      <c r="C10" t="s">
        <v>21</v>
      </c>
      <c r="F10" s="3" t="str">
        <f t="shared" si="0"/>
        <v/>
      </c>
    </row>
    <row r="11" spans="1:9" x14ac:dyDescent="0.3">
      <c r="A11">
        <v>9</v>
      </c>
      <c r="B11" s="4" t="s">
        <v>45</v>
      </c>
      <c r="C11" t="s">
        <v>21</v>
      </c>
      <c r="F11" s="3" t="str">
        <f t="shared" si="0"/>
        <v/>
      </c>
    </row>
    <row r="12" spans="1:9" x14ac:dyDescent="0.3">
      <c r="A12">
        <v>10</v>
      </c>
      <c r="B12" s="4" t="s">
        <v>46</v>
      </c>
      <c r="C12" t="s">
        <v>22</v>
      </c>
      <c r="F12" s="3" t="str">
        <f t="shared" si="0"/>
        <v/>
      </c>
    </row>
    <row r="13" spans="1:9" x14ac:dyDescent="0.3">
      <c r="A13">
        <v>11</v>
      </c>
      <c r="B13" s="4" t="s">
        <v>47</v>
      </c>
      <c r="C13" t="s">
        <v>23</v>
      </c>
      <c r="F13" s="3" t="str">
        <f t="shared" si="0"/>
        <v/>
      </c>
    </row>
    <row r="14" spans="1:9" x14ac:dyDescent="0.3">
      <c r="A14">
        <v>12</v>
      </c>
      <c r="B14" s="4" t="s">
        <v>48</v>
      </c>
      <c r="C14" t="s">
        <v>24</v>
      </c>
      <c r="F14" s="3" t="str">
        <f t="shared" si="0"/>
        <v/>
      </c>
    </row>
    <row r="15" spans="1:9" x14ac:dyDescent="0.3">
      <c r="A15">
        <v>13</v>
      </c>
      <c r="B15" s="5" t="s">
        <v>49</v>
      </c>
      <c r="C15" t="s">
        <v>24</v>
      </c>
      <c r="F15" s="3" t="str">
        <f t="shared" si="0"/>
        <v/>
      </c>
    </row>
    <row r="16" spans="1:9" x14ac:dyDescent="0.3">
      <c r="A16">
        <v>14</v>
      </c>
      <c r="B16" s="4" t="s">
        <v>50</v>
      </c>
      <c r="C16" t="s">
        <v>25</v>
      </c>
      <c r="F16" s="3" t="str">
        <f t="shared" si="0"/>
        <v/>
      </c>
    </row>
    <row r="17" spans="1:6" x14ac:dyDescent="0.3">
      <c r="A17">
        <v>15</v>
      </c>
      <c r="B17" s="4" t="s">
        <v>51</v>
      </c>
      <c r="C17" t="s">
        <v>26</v>
      </c>
      <c r="F17" s="3" t="str">
        <f t="shared" si="0"/>
        <v/>
      </c>
    </row>
    <row r="18" spans="1:6" x14ac:dyDescent="0.3">
      <c r="A18">
        <v>16</v>
      </c>
      <c r="B18" s="4" t="s">
        <v>52</v>
      </c>
      <c r="C18" t="s">
        <v>27</v>
      </c>
      <c r="F18" s="3" t="str">
        <f t="shared" si="0"/>
        <v/>
      </c>
    </row>
    <row r="19" spans="1:6" x14ac:dyDescent="0.3">
      <c r="A19">
        <v>17</v>
      </c>
      <c r="B19" s="4" t="s">
        <v>53</v>
      </c>
      <c r="C19" t="s">
        <v>28</v>
      </c>
      <c r="F19" s="3" t="str">
        <f t="shared" si="0"/>
        <v/>
      </c>
    </row>
    <row r="20" spans="1:6" x14ac:dyDescent="0.3">
      <c r="A20">
        <v>18</v>
      </c>
      <c r="B20" s="4" t="s">
        <v>54</v>
      </c>
      <c r="C20" t="s">
        <v>29</v>
      </c>
      <c r="F20" s="3" t="str">
        <f t="shared" si="0"/>
        <v/>
      </c>
    </row>
    <row r="21" spans="1:6" x14ac:dyDescent="0.3">
      <c r="A21">
        <v>19</v>
      </c>
      <c r="B21" s="4" t="s">
        <v>55</v>
      </c>
      <c r="C21" t="s">
        <v>65</v>
      </c>
      <c r="F21" s="3" t="str">
        <f t="shared" si="0"/>
        <v/>
      </c>
    </row>
    <row r="22" spans="1:6" x14ac:dyDescent="0.3">
      <c r="A22">
        <v>20</v>
      </c>
      <c r="B22" s="4" t="s">
        <v>56</v>
      </c>
      <c r="C22" t="s">
        <v>31</v>
      </c>
      <c r="F22" s="3" t="str">
        <f t="shared" si="0"/>
        <v/>
      </c>
    </row>
    <row r="23" spans="1:6" x14ac:dyDescent="0.3">
      <c r="A23">
        <v>21</v>
      </c>
      <c r="B23" s="4" t="s">
        <v>57</v>
      </c>
      <c r="C23" t="s">
        <v>32</v>
      </c>
      <c r="F23" s="3" t="str">
        <f t="shared" si="0"/>
        <v/>
      </c>
    </row>
    <row r="24" spans="1:6" x14ac:dyDescent="0.3">
      <c r="A24">
        <v>22</v>
      </c>
      <c r="B24" s="4" t="s">
        <v>62</v>
      </c>
      <c r="C24" t="s">
        <v>21</v>
      </c>
      <c r="F24" s="3" t="str">
        <f t="shared" si="0"/>
        <v/>
      </c>
    </row>
    <row r="25" spans="1:6" x14ac:dyDescent="0.3">
      <c r="A25">
        <v>23</v>
      </c>
      <c r="B25" s="4" t="s">
        <v>39</v>
      </c>
      <c r="C25" t="s">
        <v>33</v>
      </c>
      <c r="F25" s="3" t="str">
        <f t="shared" si="0"/>
        <v/>
      </c>
    </row>
    <row r="26" spans="1:6" x14ac:dyDescent="0.3">
      <c r="A26">
        <v>24</v>
      </c>
      <c r="B26" s="4" t="s">
        <v>58</v>
      </c>
      <c r="C26" t="s">
        <v>33</v>
      </c>
      <c r="F26" s="3" t="str">
        <f t="shared" si="0"/>
        <v/>
      </c>
    </row>
    <row r="27" spans="1:6" x14ac:dyDescent="0.3">
      <c r="A27">
        <v>25</v>
      </c>
      <c r="B27" s="4" t="s">
        <v>59</v>
      </c>
      <c r="C27" t="s">
        <v>16</v>
      </c>
      <c r="F27" s="3" t="str">
        <f t="shared" si="0"/>
        <v/>
      </c>
    </row>
    <row r="28" spans="1:6" x14ac:dyDescent="0.3">
      <c r="A28">
        <v>26</v>
      </c>
      <c r="B28" s="4" t="s">
        <v>60</v>
      </c>
      <c r="C28" t="s">
        <v>34</v>
      </c>
      <c r="F28" s="3" t="str">
        <f t="shared" si="0"/>
        <v/>
      </c>
    </row>
    <row r="29" spans="1:6" x14ac:dyDescent="0.3">
      <c r="A29">
        <v>27</v>
      </c>
      <c r="B29" s="4" t="s">
        <v>61</v>
      </c>
      <c r="C29" t="s">
        <v>35</v>
      </c>
      <c r="F29" s="3" t="str">
        <f t="shared" si="0"/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4C0EDE5296B147BC2A708D987EBBE0" ma:contentTypeVersion="7" ma:contentTypeDescription="Create a new document." ma:contentTypeScope="" ma:versionID="8c3e2096c765566573386b645dca38be">
  <xsd:schema xmlns:xsd="http://www.w3.org/2001/XMLSchema" xmlns:xs="http://www.w3.org/2001/XMLSchema" xmlns:p="http://schemas.microsoft.com/office/2006/metadata/properties" xmlns:ns2="785d5cef-6132-41e1-9d44-d371c3104df3" targetNamespace="http://schemas.microsoft.com/office/2006/metadata/properties" ma:root="true" ma:fieldsID="fe8befeafed901ddf46e8aa036d99f9b" ns2:_="">
    <xsd:import namespace="785d5cef-6132-41e1-9d44-d371c3104d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d5cef-6132-41e1-9d44-d371c3104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32EB7B-DFE6-420B-A8AB-D73088338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08E497-0238-4569-8734-646712EAF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d5cef-6132-41e1-9d44-d371c3104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251ED3-6DC3-4A89-84BF-8818EBDF1DA6}">
  <ds:schemaRefs>
    <ds:schemaRef ds:uri="http://schemas.microsoft.com/office/infopath/2007/PartnerControls"/>
    <ds:schemaRef ds:uri="785d5cef-6132-41e1-9d44-d371c3104df3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New Program</vt:lpstr>
      <vt:lpstr>Flexline</vt:lpstr>
      <vt:lpstr>5NC Relocation</vt:lpstr>
      <vt:lpstr>Subassembly Consolidation</vt:lpstr>
      <vt:lpstr>ECR - Standard</vt:lpstr>
      <vt:lpstr>ECR Manager Decision</vt:lpstr>
      <vt:lpstr>CO ECR</vt:lpstr>
      <vt:lpstr>Global ECR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Aguilera Barragan Pickens German (PS-CC/PJM-NA)</dc:creator>
  <cp:lastModifiedBy>Aguilera Barragan Pickens German (PS-CC/PJM-NA)</cp:lastModifiedBy>
  <dcterms:created xsi:type="dcterms:W3CDTF">2026-03-23T19:14:52Z</dcterms:created>
  <dcterms:modified xsi:type="dcterms:W3CDTF">2026-05-19T15:52:04Z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0x0101005D4C0EDE5296B147BC2A708D987EBBE0</vt:lpwstr>
  </property>
</Properties>
</file>