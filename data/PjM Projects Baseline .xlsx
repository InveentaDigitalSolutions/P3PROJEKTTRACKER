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G1SLP\OneDrive - Bosch Group\PersonalDrive\Documents\Daily\Daily operation - Backup\"/>
    </mc:Choice>
  </mc:AlternateContent>
  <xr:revisionPtr revIDLastSave="0" documentId="8_{D7490E09-185B-4CFB-8183-0BEAE115FC0D}" xr6:coauthVersionLast="47" xr6:coauthVersionMax="47" xr10:uidLastSave="{00000000-0000-0000-0000-000000000000}"/>
  <bookViews>
    <workbookView xWindow="-108" yWindow="-108" windowWidth="23256" windowHeight="13896" firstSheet="1" activeTab="3" xr2:uid="{244159EC-EFE9-4E01-88A2-3E95DDF63DAB}"/>
  </bookViews>
  <sheets>
    <sheet name="New Program - DVE BRP 54mm NC " sheetId="12" r:id="rId1"/>
    <sheet name="ECR Standard- EKP 13 01G" sheetId="8" r:id="rId2"/>
    <sheet name="ECR Standard - EKP 13 01D" sheetId="11" r:id="rId3"/>
    <sheet name="ECR Standard - Nissan 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9" l="1"/>
  <c r="F30" i="9" s="1"/>
  <c r="E28" i="9"/>
  <c r="F28" i="9" s="1"/>
  <c r="E3" i="9"/>
  <c r="E4" i="9"/>
  <c r="E5" i="9"/>
  <c r="F7" i="9"/>
  <c r="E8" i="9"/>
  <c r="F8" i="9" s="1"/>
  <c r="E9" i="9"/>
  <c r="E10" i="9"/>
  <c r="F10" i="9" s="1"/>
  <c r="E11" i="9"/>
  <c r="F11" i="9" s="1"/>
  <c r="E12" i="9"/>
  <c r="F12" i="9" s="1"/>
  <c r="E13" i="9"/>
  <c r="F13" i="9" s="1"/>
  <c r="E14" i="9"/>
  <c r="F14" i="9" s="1"/>
  <c r="E15" i="9"/>
  <c r="F15" i="9" s="1"/>
  <c r="E16" i="9"/>
  <c r="F16" i="9" s="1"/>
  <c r="E17" i="9"/>
  <c r="F17" i="9" s="1"/>
  <c r="E19" i="9"/>
  <c r="E20" i="9"/>
  <c r="F20" i="9" s="1"/>
  <c r="E21" i="9"/>
  <c r="E22" i="9"/>
  <c r="F22" i="9" s="1"/>
  <c r="E23" i="9"/>
  <c r="F23" i="9" s="1"/>
  <c r="E24" i="9"/>
  <c r="F24" i="9" s="1"/>
  <c r="E25" i="9"/>
  <c r="F25" i="9" s="1"/>
  <c r="E26" i="9"/>
  <c r="F26" i="9" s="1"/>
  <c r="E29" i="9"/>
  <c r="F29" i="9" s="1"/>
  <c r="E31" i="9"/>
  <c r="F31" i="9" s="1"/>
  <c r="E32" i="9"/>
  <c r="F4" i="9"/>
  <c r="F5" i="9"/>
  <c r="F9" i="9"/>
  <c r="F19" i="9"/>
  <c r="F21" i="9"/>
  <c r="F32" i="9"/>
  <c r="F3" i="9"/>
  <c r="E23" i="11"/>
  <c r="F23" i="11" s="1"/>
  <c r="F6" i="11"/>
  <c r="E6" i="11"/>
  <c r="E32" i="11"/>
  <c r="F32" i="11" s="1"/>
  <c r="E31" i="11"/>
  <c r="F31" i="11" s="1"/>
  <c r="E30" i="11"/>
  <c r="F30" i="11" s="1"/>
  <c r="E29" i="11"/>
  <c r="F29" i="11" s="1"/>
  <c r="E28" i="11"/>
  <c r="F28" i="11" s="1"/>
  <c r="E26" i="11"/>
  <c r="F26" i="11" s="1"/>
  <c r="E25" i="11"/>
  <c r="F25" i="11" s="1"/>
  <c r="E24" i="11"/>
  <c r="F24" i="11" s="1"/>
  <c r="E22" i="11"/>
  <c r="F22" i="11" s="1"/>
  <c r="E21" i="11"/>
  <c r="F21" i="11" s="1"/>
  <c r="E20" i="11"/>
  <c r="F20" i="11" s="1"/>
  <c r="E19" i="11"/>
  <c r="F19" i="11" s="1"/>
  <c r="E17" i="11"/>
  <c r="F17" i="11" s="1"/>
  <c r="E16" i="11"/>
  <c r="F16" i="11" s="1"/>
  <c r="F15" i="11"/>
  <c r="E15" i="11"/>
  <c r="E14" i="11"/>
  <c r="F14" i="11" s="1"/>
  <c r="E13" i="11"/>
  <c r="F13" i="11" s="1"/>
  <c r="E12" i="11"/>
  <c r="F12" i="11" s="1"/>
  <c r="E11" i="11"/>
  <c r="F11" i="11" s="1"/>
  <c r="E10" i="11"/>
  <c r="F10" i="11" s="1"/>
  <c r="E9" i="11"/>
  <c r="F9" i="11" s="1"/>
  <c r="F8" i="11"/>
  <c r="E8" i="11"/>
  <c r="E7" i="11"/>
  <c r="F7" i="11" s="1"/>
  <c r="E5" i="11"/>
  <c r="F5" i="11" s="1"/>
  <c r="E4" i="11"/>
  <c r="F4" i="11" s="1"/>
  <c r="E3" i="11"/>
  <c r="F3" i="11" s="1"/>
  <c r="F32" i="8"/>
  <c r="E32" i="8"/>
  <c r="F4" i="8"/>
  <c r="F5" i="8"/>
  <c r="F9" i="8"/>
  <c r="F10" i="8"/>
  <c r="F11" i="8"/>
  <c r="F12" i="8"/>
  <c r="F13" i="8"/>
  <c r="F14" i="8"/>
  <c r="F15" i="8"/>
  <c r="F16" i="8"/>
  <c r="F17" i="8"/>
  <c r="F19" i="8"/>
  <c r="F20" i="8"/>
  <c r="F21" i="8"/>
  <c r="F22" i="8"/>
  <c r="F23" i="8"/>
  <c r="F24" i="8"/>
  <c r="F25" i="8"/>
  <c r="F29" i="8"/>
  <c r="F30" i="8"/>
  <c r="F31" i="8"/>
  <c r="F3" i="8"/>
  <c r="E24" i="8"/>
  <c r="E20" i="8"/>
  <c r="E19" i="8"/>
  <c r="E17" i="8"/>
  <c r="E4" i="8"/>
  <c r="E5" i="8"/>
  <c r="E7" i="8"/>
  <c r="F7" i="8" s="1"/>
  <c r="E8" i="8"/>
  <c r="F8" i="8" s="1"/>
  <c r="E9" i="8"/>
  <c r="E10" i="8"/>
  <c r="E11" i="8"/>
  <c r="E12" i="8"/>
  <c r="E13" i="8"/>
  <c r="E14" i="8"/>
  <c r="E15" i="8"/>
  <c r="E16" i="8"/>
  <c r="E21" i="8"/>
  <c r="E22" i="8"/>
  <c r="E23" i="8"/>
  <c r="E25" i="8"/>
  <c r="E26" i="8"/>
  <c r="F26" i="8" s="1"/>
  <c r="E28" i="8"/>
  <c r="F28" i="8" s="1"/>
  <c r="E29" i="8"/>
  <c r="E30" i="8"/>
  <c r="E31" i="8"/>
  <c r="E3" i="8"/>
</calcChain>
</file>

<file path=xl/sharedStrings.xml><?xml version="1.0" encoding="utf-8"?>
<sst xmlns="http://schemas.openxmlformats.org/spreadsheetml/2006/main" count="424" uniqueCount="138">
  <si>
    <t xml:space="preserve">Task </t>
  </si>
  <si>
    <t xml:space="preserve">Responsible </t>
  </si>
  <si>
    <t>Inputs</t>
  </si>
  <si>
    <t xml:space="preserve">Workload (%  hrs)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</si>
  <si>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</si>
  <si>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</si>
  <si>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</si>
  <si>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</si>
  <si>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</si>
  <si>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</si>
  <si>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(ChR)  </t>
  </si>
  <si>
    <t>(PUQ)</t>
  </si>
  <si>
    <t xml:space="preserve"> (PUQ/ChR)</t>
  </si>
  <si>
    <t xml:space="preserve">(LOG/ChR) </t>
  </si>
  <si>
    <t xml:space="preserve">(ChR/ENG) </t>
  </si>
  <si>
    <t xml:space="preserve">(MFE/ENG/QMM) </t>
  </si>
  <si>
    <t xml:space="preserve">(ChR/PUQ) </t>
  </si>
  <si>
    <t>(ChR/ENG)</t>
  </si>
  <si>
    <t xml:space="preserve"> (ChR)</t>
  </si>
  <si>
    <t>(TEF6)</t>
  </si>
  <si>
    <t xml:space="preserve">(ChR/Lcoal Change Co) </t>
  </si>
  <si>
    <t>(QMM)</t>
  </si>
  <si>
    <t xml:space="preserve">(Sales) </t>
  </si>
  <si>
    <t>(PPS/LOG)</t>
  </si>
  <si>
    <t xml:space="preserve"> (CFT) </t>
  </si>
  <si>
    <t xml:space="preserve">(CFT) </t>
  </si>
  <si>
    <t xml:space="preserve">KO meeting  </t>
  </si>
  <si>
    <t xml:space="preserve">RACE submission for new PN if applies </t>
  </si>
  <si>
    <t xml:space="preserve">Customer acceptance of the ECR </t>
  </si>
  <si>
    <t>Systematic release to supplier</t>
  </si>
  <si>
    <t xml:space="preserve">Business case available   </t>
  </si>
  <si>
    <t xml:space="preserve">TR meeting  </t>
  </si>
  <si>
    <t xml:space="preserve">PTR parts available  </t>
  </si>
  <si>
    <t xml:space="preserve">First part of MP206 completion   </t>
  </si>
  <si>
    <t xml:space="preserve">Counter measurement start date   </t>
  </si>
  <si>
    <t xml:space="preserve">Counter measurement end date   </t>
  </si>
  <si>
    <t xml:space="preserve">DL review and release if applies  </t>
  </si>
  <si>
    <t xml:space="preserve">PTR Date   </t>
  </si>
  <si>
    <t xml:space="preserve">PV start date   </t>
  </si>
  <si>
    <t xml:space="preserve">PV end date   </t>
  </si>
  <si>
    <t xml:space="preserve">PTR and PV report   </t>
  </si>
  <si>
    <t xml:space="preserve">Interim PSW   </t>
  </si>
  <si>
    <t xml:space="preserve">Customer validation completion   </t>
  </si>
  <si>
    <t xml:space="preserve">Final Review presentation  </t>
  </si>
  <si>
    <t xml:space="preserve">New PN release and available in SAP   </t>
  </si>
  <si>
    <t xml:space="preserve">ECR ST40   </t>
  </si>
  <si>
    <t xml:space="preserve">PO Update   </t>
  </si>
  <si>
    <t xml:space="preserve">SOP supplier  </t>
  </si>
  <si>
    <t xml:space="preserve">Date of first batch arrival  </t>
  </si>
  <si>
    <t xml:space="preserve">SOP BOSCH  </t>
  </si>
  <si>
    <t xml:space="preserve">ECR close ST48   </t>
  </si>
  <si>
    <t>Full PSW Supplier</t>
  </si>
  <si>
    <t xml:space="preserve">Start date </t>
  </si>
  <si>
    <t>Finish date</t>
  </si>
  <si>
    <t xml:space="preserve">Project / ECR: </t>
  </si>
  <si>
    <t xml:space="preserve">* Supplier feasibility 
*Task force activities, customer meetings
* Quotation for the change from supplier 
* Updated drawing </t>
  </si>
  <si>
    <t xml:space="preserve">*ECR
* Updated drawing
* Customer presentation 
* CTG Checklist </t>
  </si>
  <si>
    <t>NA</t>
  </si>
  <si>
    <t xml:space="preserve">* Customer technical meetings 
* Design definition </t>
  </si>
  <si>
    <t xml:space="preserve">* Updated Drawing 
* Feasilibity confirmation 
* Purchasing Order </t>
  </si>
  <si>
    <t>* PTR parts
* Manufacturing setup</t>
  </si>
  <si>
    <t>* Counter measurement data 
* Analysis results</t>
  </si>
  <si>
    <t>* QMM Test results 
* PTR results (EoL test, airflow)
* DL with proposed deviations</t>
  </si>
  <si>
    <t>* Pieces available with the machined LMS at 15.3°</t>
  </si>
  <si>
    <t>* PTR approval 
* Pieces available within specification</t>
  </si>
  <si>
    <t>* Production validation tests</t>
  </si>
  <si>
    <t>* All test data 
* Validation results
* Teardown Analysis</t>
  </si>
  <si>
    <t>* PTR report
* PV report</t>
  </si>
  <si>
    <t>* Interim PSW
* Customer testing</t>
  </si>
  <si>
    <t>* All validation data</t>
  </si>
  <si>
    <t>* Final approval</t>
  </si>
  <si>
    <t>* PN release confirmation</t>
  </si>
  <si>
    <t>* Complete documentation</t>
  </si>
  <si>
    <t>* Customer approval</t>
  </si>
  <si>
    <t>* All documentation</t>
  </si>
  <si>
    <t>* Full PSW complete</t>
  </si>
  <si>
    <t>* Production readiness</t>
  </si>
  <si>
    <t>* SOP confirmation</t>
  </si>
  <si>
    <t>* First batch received</t>
  </si>
  <si>
    <t>* SOP complete</t>
  </si>
  <si>
    <t>% COMPLETE</t>
  </si>
  <si>
    <t xml:space="preserve">0/Series </t>
  </si>
  <si>
    <t>PPAP Submission *from TLP to Customer</t>
  </si>
  <si>
    <t>PPAP Approval *from Customer to TLP</t>
  </si>
  <si>
    <t>(MSE)</t>
  </si>
  <si>
    <t>Supplier Full Release</t>
  </si>
  <si>
    <t>*PSW Full Approval</t>
  </si>
  <si>
    <t>*TLP Procedure</t>
  </si>
  <si>
    <t>*Final PPAP submission</t>
  </si>
  <si>
    <t>Leadtime
 (Days)</t>
  </si>
  <si>
    <t>Column1</t>
  </si>
  <si>
    <t>Leadtime
(wks)</t>
  </si>
  <si>
    <r>
      <t>ECR 3E10144732 – Pump para 2154 -&gt; </t>
    </r>
    <r>
      <rPr>
        <i/>
        <sz val="11"/>
        <color theme="8"/>
        <rFont val="Aptos Narrow"/>
        <family val="2"/>
        <scheme val="minor"/>
      </rPr>
      <t>(0580.454.00U → 0580.454.01G)</t>
    </r>
  </si>
  <si>
    <t xml:space="preserve">RACE FXRC126580 – Pump para 1895
RACE FXRC126584 – Pump para 1896 </t>
  </si>
  <si>
    <t>3E10165605 – Nissan &amp; STLA Reservoir – 2026</t>
  </si>
  <si>
    <t>MSE/QMM</t>
  </si>
  <si>
    <t>SOP</t>
  </si>
  <si>
    <t>PjM</t>
  </si>
  <si>
    <t>QGC4</t>
  </si>
  <si>
    <t>QMM</t>
  </si>
  <si>
    <t>PPAP approval</t>
  </si>
  <si>
    <t xml:space="preserve">PPAP submission </t>
  </si>
  <si>
    <t>MSE / QMM</t>
  </si>
  <si>
    <t>Zero series</t>
  </si>
  <si>
    <t xml:space="preserve">PjM </t>
  </si>
  <si>
    <t xml:space="preserve">13 Digits release </t>
  </si>
  <si>
    <t>PVP&amp;R</t>
  </si>
  <si>
    <t>PVP</t>
  </si>
  <si>
    <t>PTR</t>
  </si>
  <si>
    <t>PUQ/QMM</t>
  </si>
  <si>
    <t>MDM</t>
  </si>
  <si>
    <t>ENG</t>
  </si>
  <si>
    <t>IMDS</t>
  </si>
  <si>
    <t>PUQ</t>
  </si>
  <si>
    <t>C-component release</t>
  </si>
  <si>
    <t>DFMEA</t>
  </si>
  <si>
    <t>10 Digits MM</t>
  </si>
  <si>
    <t>MSE</t>
  </si>
  <si>
    <t xml:space="preserve">Line Release </t>
  </si>
  <si>
    <t>PFMEA</t>
  </si>
  <si>
    <t xml:space="preserve">Line Retrofit </t>
  </si>
  <si>
    <t>PPS</t>
  </si>
  <si>
    <t xml:space="preserve">Sourcing </t>
  </si>
  <si>
    <t xml:space="preserve">Drawing release </t>
  </si>
  <si>
    <t>C-component design freeze</t>
  </si>
  <si>
    <t>-</t>
  </si>
  <si>
    <t xml:space="preserve">DVP&amp;R </t>
  </si>
  <si>
    <t>DV</t>
  </si>
  <si>
    <t>B-samples</t>
  </si>
  <si>
    <t xml:space="preserve">B-samples production run </t>
  </si>
  <si>
    <t xml:space="preserve">Soft tooling </t>
  </si>
  <si>
    <t>QGC0</t>
  </si>
  <si>
    <t>B- Design freeze</t>
  </si>
  <si>
    <t xml:space="preserve">Design phase </t>
  </si>
  <si>
    <t>Project Kickoff</t>
  </si>
  <si>
    <t>Aq. Mngr.</t>
  </si>
  <si>
    <t xml:space="preserve">Project Award </t>
  </si>
  <si>
    <t>Leadtime
 (CW)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</si>
</sst>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i/>
      <sz val="11"/>
      <color theme="8"/>
      <name val="Aptos Narrow"/>
      <family val="2"/>
      <scheme val="minor"/>
    </font>
    <font>
      <b/>
      <sz val="11"/>
      <color rgb="FF000000"/>
      <name val="Calibri"/>
      <family val="2"/>
    </font>
    <font>
      <b/>
      <strike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left" vertical="center" indent="3" readingOrder="1"/>
    </xf>
    <xf numFmtId="0" fontId="0" fillId="0" borderId="0" xfId="0" applyAlignment="1">
      <alignment horizontal="left" vertical="center" indent="3" readingOrder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 vertical="center" indent="3" readingOrder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center" indent="3" readingOrder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vertical="center"/>
    </xf>
    <xf numFmtId="14" fontId="6" fillId="0" borderId="0" xfId="0" applyNumberFormat="1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4" fontId="12" fillId="0" borderId="1" xfId="0" applyNumberFormat="1" applyFont="1" applyBorder="1" applyAlignment="1">
      <alignment vertical="center"/>
    </xf>
    <xf numFmtId="0" fontId="0" fillId="0" borderId="0" xfId="0" applyNumberFormat="1" applyAlignment="1">
      <alignment horizontal="center"/>
    </xf>
    <xf numFmtId="9" fontId="0" fillId="0" borderId="0" xfId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0" fontId="9" fillId="0" borderId="0" xfId="0" applyFont="1" applyAlignment="1">
      <alignment vertical="center"/>
    </xf>
    <xf numFmtId="11" fontId="10" fillId="0" borderId="0" xfId="0" applyNumberFormat="1" applyFont="1" applyAlignment="1">
      <alignment wrapText="1"/>
    </xf>
    <xf numFmtId="14" fontId="13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4" fontId="3" fillId="0" borderId="0" xfId="0" applyNumberFormat="1" applyFont="1" applyAlignment="1">
      <alignment vertical="center" wrapText="1"/>
    </xf>
    <xf numFmtId="0" fontId="1" fillId="0" borderId="0" xfId="0" applyFont="1"/>
    <xf numFmtId="14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3" justifyLastLine="0" shrinkToFit="0" readingOrder="1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3" justifyLastLine="0" shrinkToFit="0" readingOrder="1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3" justifyLastLine="0" shrinkToFit="0" readingOrder="1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8D86D-05E6-4D20-B01B-9444D0088130}" name="Table1" displayName="Table1" ref="A2:J32" totalsRowShown="0" headerRowDxfId="29">
  <autoFilter ref="A2:J32" xr:uid="{2558D86D-05E6-4D20-B01B-9444D0088130}"/>
  <tableColumns count="10">
    <tableColumn id="1" xr3:uid="{EE45C5FE-D557-4F9E-ABA7-70BD3D31C175}" name="Column1" dataDxfId="28"/>
    <tableColumn id="2" xr3:uid="{06E153AC-4489-4C25-B214-C090EED64443}" name="Task " dataDxfId="27"/>
    <tableColumn id="3" xr3:uid="{68E8EC6E-085A-4591-A92E-93DE536C976B}" name="Responsible " dataDxfId="26"/>
    <tableColumn id="4" xr3:uid="{F831F91E-745F-4851-A8CF-8710554DF636}" name="Start date " dataDxfId="25"/>
    <tableColumn id="5" xr3:uid="{36465128-38A9-4F30-BE0C-E977A6615AB6}" name="Leadtime_x000a_ (Days)" dataDxfId="24">
      <calculatedColumnFormula>G3-D3</calculatedColumnFormula>
    </tableColumn>
    <tableColumn id="6" xr3:uid="{011F87BB-9D32-42B9-B7A1-572440405D80}" name="Leadtime_x000a_(wks)" dataDxfId="23">
      <calculatedColumnFormula>E3/7</calculatedColumnFormula>
    </tableColumn>
    <tableColumn id="7" xr3:uid="{425B15D9-EEB0-4B06-A0F0-2CE75AEBDC2B}" name="Finish date" dataDxfId="22"/>
    <tableColumn id="8" xr3:uid="{9B1D604B-E4BB-414B-BE6A-8C59CA0F6BDD}" name="Inputs"/>
    <tableColumn id="9" xr3:uid="{DED8F125-CEFE-4A03-89F3-F4550EED21B9}" name="Workload (%  hrs) " dataDxfId="21"/>
    <tableColumn id="10" xr3:uid="{EE326CF4-529B-4370-81EC-15F72D64C28B}" name="% COMPLETE" dataDxfId="2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DCD6E-526B-4927-A2E8-C741BD7B6C78}" name="Table13" displayName="Table13" ref="A2:J32" totalsRowShown="0" headerRowDxfId="19">
  <autoFilter ref="A2:J32" xr:uid="{2558D86D-05E6-4D20-B01B-9444D0088130}"/>
  <tableColumns count="10">
    <tableColumn id="1" xr3:uid="{B373DBAF-C7C5-4349-8CC9-531B448E8D60}" name="Column1" dataDxfId="18"/>
    <tableColumn id="2" xr3:uid="{A1C0904E-DDF4-47C9-956B-7A5D70C3BBE4}" name="Task " dataDxfId="17"/>
    <tableColumn id="3" xr3:uid="{6853CDE6-B495-4655-8171-09F114206E7C}" name="Responsible " dataDxfId="16"/>
    <tableColumn id="4" xr3:uid="{750D760C-3F36-4D79-A16F-2907A1112DB1}" name="Start date " dataDxfId="15"/>
    <tableColumn id="5" xr3:uid="{C5E5DA84-C0DA-4EFD-B6D7-9F334C7B4A90}" name="Leadtime_x000a_ (Days)" dataDxfId="14">
      <calculatedColumnFormula>G3-D3</calculatedColumnFormula>
    </tableColumn>
    <tableColumn id="6" xr3:uid="{F165E64F-51C3-41E6-AF82-48204C18D968}" name="Leadtime_x000a_(wks)" dataDxfId="13">
      <calculatedColumnFormula>E3/7</calculatedColumnFormula>
    </tableColumn>
    <tableColumn id="7" xr3:uid="{50FACA05-3848-45AC-BCF7-17A9DCB54D94}" name="Finish date" dataDxfId="12"/>
    <tableColumn id="8" xr3:uid="{49CF2B79-E566-4CF4-AD83-C0A19CDA5BFB}" name="Inputs"/>
    <tableColumn id="9" xr3:uid="{F27A3B1E-ED32-4A2D-BEEB-C4E61FF34F84}" name="Workload (%  hrs) " dataDxfId="11"/>
    <tableColumn id="10" xr3:uid="{613F4434-7062-43FE-A6EC-29EADE2230C9}" name="% COMPLETE" dataDxfId="10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A53256-B70A-4871-8DDF-CF94F4D14144}" name="Table134" displayName="Table134" ref="A2:J32" totalsRowShown="0" headerRowDxfId="9">
  <autoFilter ref="A2:J32" xr:uid="{74A53256-B70A-4871-8DDF-CF94F4D14144}"/>
  <tableColumns count="10">
    <tableColumn id="1" xr3:uid="{47D2BD1D-050B-4375-8973-3ACA94D6B470}" name="Column1" dataDxfId="8"/>
    <tableColumn id="2" xr3:uid="{2426DA47-EA90-4601-A4D9-3890B8417B4A}" name="Task " dataDxfId="7"/>
    <tableColumn id="3" xr3:uid="{7CBAAF2B-77A3-4EDF-92C6-8A97C703C34A}" name="Responsible " dataDxfId="6"/>
    <tableColumn id="4" xr3:uid="{EF4AF3D6-6393-42F8-A85F-6406D3DD9C97}" name="Start date " dataDxfId="5"/>
    <tableColumn id="5" xr3:uid="{E24DA3D8-8EEB-46C1-93F9-57F5B6AF80CE}" name="Leadtime_x000a_ (Days)" dataDxfId="4">
      <calculatedColumnFormula>Table134[[#This Row],[Finish date]]-Table134[[#This Row],[Start date ]]</calculatedColumnFormula>
    </tableColumn>
    <tableColumn id="6" xr3:uid="{F208708A-E1A5-48ED-ACD9-406B5257AD31}" name="Leadtime_x000a_(wks)" dataDxfId="3">
      <calculatedColumnFormula>Table134[[#This Row],[Leadtime
 (Days)]]/7</calculatedColumnFormula>
    </tableColumn>
    <tableColumn id="7" xr3:uid="{FD89AE61-859D-485D-8B28-A5BE5CF4E769}" name="Finish date" dataDxfId="2"/>
    <tableColumn id="8" xr3:uid="{F138AC5D-F369-4C88-BE7B-CCA574EC99BA}" name="Inputs"/>
    <tableColumn id="9" xr3:uid="{0641697E-DE29-430E-9C77-DAED3A19912A}" name="Workload (%  hrs) " dataDxfId="1"/>
    <tableColumn id="10" xr3:uid="{DC09FA7F-BE07-4A32-BF23-36810A6033B9}" name="% COMPLETE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9382-EA8F-46DA-9FCA-0E363F43E4B6}">
  <dimension ref="A2:I32"/>
  <sheetViews>
    <sheetView workbookViewId="0">
      <selection activeCell="H22" sqref="H22"/>
    </sheetView>
  </sheetViews>
  <sheetFormatPr defaultRowHeight="14.4" x14ac:dyDescent="0.3"/>
  <cols>
    <col min="2" max="2" width="24.109375" bestFit="1" customWidth="1"/>
    <col min="3" max="3" width="12.33203125" bestFit="1" customWidth="1"/>
    <col min="4" max="4" width="11.5546875" style="44" customWidth="1"/>
    <col min="5" max="5" width="9.44140625" customWidth="1"/>
    <col min="6" max="6" width="11.5546875" style="44" customWidth="1"/>
    <col min="7" max="7" width="28.33203125" customWidth="1"/>
  </cols>
  <sheetData>
    <row r="2" spans="1:9" ht="28.8" x14ac:dyDescent="0.3">
      <c r="B2" s="45" t="s">
        <v>0</v>
      </c>
      <c r="C2" s="45" t="s">
        <v>1</v>
      </c>
      <c r="D2" s="46" t="s">
        <v>52</v>
      </c>
      <c r="E2" s="47" t="s">
        <v>137</v>
      </c>
      <c r="F2" s="46" t="s">
        <v>53</v>
      </c>
      <c r="G2" s="45" t="s">
        <v>2</v>
      </c>
      <c r="H2" s="45" t="s">
        <v>3</v>
      </c>
      <c r="I2" s="45"/>
    </row>
    <row r="3" spans="1:9" x14ac:dyDescent="0.3">
      <c r="A3">
        <v>1</v>
      </c>
      <c r="B3" t="s">
        <v>136</v>
      </c>
      <c r="C3" t="s">
        <v>135</v>
      </c>
      <c r="D3" s="44" t="s">
        <v>125</v>
      </c>
      <c r="F3" s="44" t="s">
        <v>125</v>
      </c>
      <c r="G3" s="3"/>
      <c r="H3" s="4"/>
    </row>
    <row r="4" spans="1:9" x14ac:dyDescent="0.3">
      <c r="A4">
        <v>2</v>
      </c>
      <c r="B4" t="s">
        <v>134</v>
      </c>
      <c r="C4" t="s">
        <v>97</v>
      </c>
      <c r="D4" s="44">
        <v>45754</v>
      </c>
      <c r="F4" s="44">
        <v>45754</v>
      </c>
      <c r="G4" s="3"/>
      <c r="H4" s="4"/>
    </row>
    <row r="5" spans="1:9" x14ac:dyDescent="0.3">
      <c r="A5">
        <v>3</v>
      </c>
      <c r="B5" t="s">
        <v>133</v>
      </c>
      <c r="C5" t="s">
        <v>111</v>
      </c>
      <c r="D5" s="44">
        <v>45817</v>
      </c>
      <c r="G5" s="3"/>
      <c r="H5" s="4"/>
    </row>
    <row r="6" spans="1:9" x14ac:dyDescent="0.3">
      <c r="A6">
        <v>4</v>
      </c>
      <c r="B6" t="s">
        <v>132</v>
      </c>
      <c r="C6" t="s">
        <v>111</v>
      </c>
      <c r="D6" s="44">
        <v>45932</v>
      </c>
      <c r="G6" s="4"/>
      <c r="H6" s="4"/>
    </row>
    <row r="7" spans="1:9" x14ac:dyDescent="0.3">
      <c r="A7">
        <v>5</v>
      </c>
      <c r="B7" t="s">
        <v>131</v>
      </c>
      <c r="C7" t="s">
        <v>97</v>
      </c>
      <c r="D7" s="44">
        <v>45932</v>
      </c>
      <c r="F7" s="44">
        <v>45932</v>
      </c>
      <c r="G7" s="3"/>
      <c r="H7" s="4"/>
    </row>
    <row r="8" spans="1:9" x14ac:dyDescent="0.3">
      <c r="A8">
        <v>6</v>
      </c>
      <c r="B8" t="s">
        <v>130</v>
      </c>
      <c r="C8" t="s">
        <v>111</v>
      </c>
      <c r="D8" s="44" t="s">
        <v>125</v>
      </c>
      <c r="G8" s="3"/>
      <c r="H8" s="4"/>
    </row>
    <row r="9" spans="1:9" x14ac:dyDescent="0.3">
      <c r="A9">
        <v>7</v>
      </c>
      <c r="B9" t="s">
        <v>129</v>
      </c>
      <c r="C9" t="s">
        <v>111</v>
      </c>
      <c r="D9" s="44" t="s">
        <v>125</v>
      </c>
      <c r="G9" s="3"/>
      <c r="H9" s="4"/>
    </row>
    <row r="10" spans="1:9" x14ac:dyDescent="0.3">
      <c r="A10">
        <v>8</v>
      </c>
      <c r="B10" t="s">
        <v>128</v>
      </c>
      <c r="C10" t="s">
        <v>111</v>
      </c>
      <c r="D10" s="44" t="s">
        <v>125</v>
      </c>
    </row>
    <row r="11" spans="1:9" x14ac:dyDescent="0.3">
      <c r="A11">
        <v>9</v>
      </c>
      <c r="B11" t="s">
        <v>127</v>
      </c>
      <c r="C11" t="s">
        <v>111</v>
      </c>
      <c r="D11" s="44" t="s">
        <v>125</v>
      </c>
    </row>
    <row r="12" spans="1:9" x14ac:dyDescent="0.3">
      <c r="A12">
        <v>10</v>
      </c>
      <c r="B12" t="s">
        <v>126</v>
      </c>
      <c r="C12" t="s">
        <v>111</v>
      </c>
      <c r="D12" s="44" t="s">
        <v>125</v>
      </c>
    </row>
    <row r="13" spans="1:9" x14ac:dyDescent="0.3">
      <c r="A13">
        <v>11</v>
      </c>
      <c r="B13" t="s">
        <v>124</v>
      </c>
      <c r="C13" t="s">
        <v>111</v>
      </c>
      <c r="D13" s="44">
        <v>45975</v>
      </c>
      <c r="F13" s="44">
        <v>45975</v>
      </c>
    </row>
    <row r="14" spans="1:9" x14ac:dyDescent="0.3">
      <c r="A14">
        <v>12</v>
      </c>
      <c r="B14" t="s">
        <v>123</v>
      </c>
      <c r="C14" t="s">
        <v>111</v>
      </c>
      <c r="D14" s="44">
        <v>46116</v>
      </c>
      <c r="F14" s="44">
        <v>46116</v>
      </c>
    </row>
    <row r="15" spans="1:9" x14ac:dyDescent="0.3">
      <c r="A15">
        <v>13</v>
      </c>
      <c r="B15" t="s">
        <v>122</v>
      </c>
      <c r="C15" t="s">
        <v>121</v>
      </c>
      <c r="D15" s="44">
        <v>45964</v>
      </c>
      <c r="F15" s="44">
        <v>45989</v>
      </c>
    </row>
    <row r="16" spans="1:9" x14ac:dyDescent="0.3">
      <c r="A16">
        <v>14</v>
      </c>
      <c r="B16" t="s">
        <v>120</v>
      </c>
      <c r="C16" t="s">
        <v>117</v>
      </c>
      <c r="D16" s="44">
        <v>46006</v>
      </c>
      <c r="F16" s="44">
        <v>46444</v>
      </c>
    </row>
    <row r="17" spans="1:8" x14ac:dyDescent="0.3">
      <c r="A17">
        <v>15</v>
      </c>
      <c r="B17" t="s">
        <v>119</v>
      </c>
      <c r="C17" t="s">
        <v>117</v>
      </c>
      <c r="D17" s="44">
        <v>46132</v>
      </c>
      <c r="F17" s="44">
        <v>46253</v>
      </c>
      <c r="G17" s="3"/>
      <c r="H17" s="4"/>
    </row>
    <row r="18" spans="1:8" x14ac:dyDescent="0.3">
      <c r="A18">
        <v>16</v>
      </c>
      <c r="B18" t="s">
        <v>118</v>
      </c>
      <c r="C18" t="s">
        <v>117</v>
      </c>
      <c r="D18" s="44">
        <v>46139</v>
      </c>
      <c r="F18" s="44">
        <v>46630</v>
      </c>
      <c r="G18" s="3"/>
      <c r="H18" s="4"/>
    </row>
    <row r="19" spans="1:8" x14ac:dyDescent="0.3">
      <c r="A19">
        <v>17</v>
      </c>
      <c r="B19" t="s">
        <v>116</v>
      </c>
      <c r="C19" t="s">
        <v>97</v>
      </c>
      <c r="D19" s="44">
        <v>46094</v>
      </c>
      <c r="F19" s="44">
        <v>46094</v>
      </c>
      <c r="H19" s="4"/>
    </row>
    <row r="20" spans="1:8" x14ac:dyDescent="0.3">
      <c r="A20">
        <v>18</v>
      </c>
      <c r="B20" t="s">
        <v>115</v>
      </c>
      <c r="C20" t="s">
        <v>111</v>
      </c>
    </row>
    <row r="21" spans="1:8" x14ac:dyDescent="0.3">
      <c r="A21">
        <v>19</v>
      </c>
      <c r="B21" t="s">
        <v>114</v>
      </c>
      <c r="C21" t="s">
        <v>113</v>
      </c>
      <c r="D21" s="44">
        <v>46338</v>
      </c>
      <c r="F21" s="44">
        <v>46338</v>
      </c>
      <c r="H21" s="4"/>
    </row>
    <row r="22" spans="1:8" x14ac:dyDescent="0.3">
      <c r="A22">
        <v>20</v>
      </c>
      <c r="B22" t="s">
        <v>112</v>
      </c>
      <c r="C22" t="s">
        <v>111</v>
      </c>
      <c r="H22" s="4"/>
    </row>
    <row r="23" spans="1:8" x14ac:dyDescent="0.3">
      <c r="A23">
        <v>21</v>
      </c>
      <c r="B23" t="s">
        <v>110</v>
      </c>
      <c r="C23" t="s">
        <v>109</v>
      </c>
      <c r="H23" s="4"/>
    </row>
    <row r="24" spans="1:8" x14ac:dyDescent="0.3">
      <c r="A24">
        <v>22</v>
      </c>
      <c r="B24" t="s">
        <v>108</v>
      </c>
      <c r="C24" t="s">
        <v>99</v>
      </c>
      <c r="D24" s="44">
        <v>46248</v>
      </c>
      <c r="F24" s="44">
        <v>46248</v>
      </c>
      <c r="H24" s="4"/>
    </row>
    <row r="25" spans="1:8" x14ac:dyDescent="0.3">
      <c r="A25">
        <v>23</v>
      </c>
      <c r="B25" t="s">
        <v>107</v>
      </c>
      <c r="C25" t="s">
        <v>99</v>
      </c>
      <c r="D25" s="44">
        <v>46251</v>
      </c>
      <c r="F25" s="44">
        <v>46416</v>
      </c>
      <c r="H25" s="4"/>
    </row>
    <row r="26" spans="1:8" x14ac:dyDescent="0.3">
      <c r="A26">
        <v>24</v>
      </c>
      <c r="B26" t="s">
        <v>106</v>
      </c>
      <c r="C26" t="s">
        <v>99</v>
      </c>
      <c r="D26" s="44">
        <v>46419</v>
      </c>
      <c r="F26" s="44">
        <v>46437</v>
      </c>
      <c r="H26" s="4"/>
    </row>
    <row r="27" spans="1:8" x14ac:dyDescent="0.3">
      <c r="A27">
        <v>25</v>
      </c>
      <c r="B27" t="s">
        <v>105</v>
      </c>
      <c r="C27" t="s">
        <v>104</v>
      </c>
      <c r="D27" s="44">
        <v>46318</v>
      </c>
      <c r="F27" s="44">
        <v>46339</v>
      </c>
      <c r="H27" s="4"/>
    </row>
    <row r="28" spans="1:8" x14ac:dyDescent="0.3">
      <c r="A28">
        <v>26</v>
      </c>
      <c r="B28" t="s">
        <v>103</v>
      </c>
      <c r="C28" t="s">
        <v>102</v>
      </c>
      <c r="H28" s="4"/>
    </row>
    <row r="29" spans="1:8" x14ac:dyDescent="0.3">
      <c r="A29">
        <v>27</v>
      </c>
      <c r="B29" t="s">
        <v>101</v>
      </c>
      <c r="C29" t="s">
        <v>99</v>
      </c>
      <c r="D29" s="44">
        <v>46451</v>
      </c>
      <c r="F29" s="44">
        <v>46451</v>
      </c>
      <c r="H29" s="4"/>
    </row>
    <row r="30" spans="1:8" x14ac:dyDescent="0.3">
      <c r="A30">
        <v>28</v>
      </c>
      <c r="B30" t="s">
        <v>100</v>
      </c>
      <c r="C30" t="s">
        <v>99</v>
      </c>
      <c r="D30" s="44">
        <v>46525</v>
      </c>
      <c r="F30" s="44">
        <v>46525</v>
      </c>
    </row>
    <row r="31" spans="1:8" x14ac:dyDescent="0.3">
      <c r="A31">
        <v>29</v>
      </c>
      <c r="B31" t="s">
        <v>98</v>
      </c>
      <c r="C31" t="s">
        <v>97</v>
      </c>
      <c r="D31" s="44">
        <v>46433</v>
      </c>
      <c r="F31" s="44">
        <v>46433</v>
      </c>
    </row>
    <row r="32" spans="1:8" x14ac:dyDescent="0.3">
      <c r="A32">
        <v>30</v>
      </c>
      <c r="B32" t="s">
        <v>96</v>
      </c>
      <c r="C32" t="s">
        <v>95</v>
      </c>
      <c r="D32" s="44">
        <v>46525</v>
      </c>
      <c r="F32" s="44">
        <v>46525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BC23-A9B1-40C5-A5E5-E9911D75D793}">
  <dimension ref="A1:J32"/>
  <sheetViews>
    <sheetView topLeftCell="A18" zoomScale="120" zoomScaleNormal="120" workbookViewId="0">
      <selection activeCell="H36" sqref="H36"/>
    </sheetView>
  </sheetViews>
  <sheetFormatPr defaultColWidth="8.88671875" defaultRowHeight="14.4" x14ac:dyDescent="0.3"/>
  <cols>
    <col min="1" max="1" width="12.109375" style="6" customWidth="1"/>
    <col min="2" max="2" width="35.44140625" bestFit="1" customWidth="1"/>
    <col min="3" max="3" width="20.5546875" style="6" bestFit="1" customWidth="1"/>
    <col min="4" max="4" width="11.5546875" style="5" customWidth="1"/>
    <col min="5" max="5" width="14" style="6" hidden="1" customWidth="1"/>
    <col min="6" max="6" width="10" style="6" customWidth="1"/>
    <col min="7" max="7" width="11.5546875" style="5" customWidth="1"/>
    <col min="8" max="8" width="28.33203125" customWidth="1"/>
    <col min="9" max="9" width="17.109375" style="6" customWidth="1"/>
    <col min="10" max="10" width="13" style="4" customWidth="1"/>
  </cols>
  <sheetData>
    <row r="1" spans="1:10" x14ac:dyDescent="0.3">
      <c r="A1" s="27" t="s">
        <v>54</v>
      </c>
      <c r="B1" s="28" t="s">
        <v>92</v>
      </c>
    </row>
    <row r="2" spans="1:10" s="4" customFormat="1" ht="27.6" customHeight="1" x14ac:dyDescent="0.3">
      <c r="A2" s="17" t="s">
        <v>90</v>
      </c>
      <c r="B2" s="18" t="s">
        <v>0</v>
      </c>
      <c r="C2" s="18" t="s">
        <v>1</v>
      </c>
      <c r="D2" s="19" t="s">
        <v>52</v>
      </c>
      <c r="E2" s="20" t="s">
        <v>89</v>
      </c>
      <c r="F2" s="20" t="s">
        <v>91</v>
      </c>
      <c r="G2" s="19" t="s">
        <v>53</v>
      </c>
      <c r="H2" s="18" t="s">
        <v>2</v>
      </c>
      <c r="I2" s="18" t="s">
        <v>3</v>
      </c>
      <c r="J2" s="18" t="s">
        <v>80</v>
      </c>
    </row>
    <row r="3" spans="1:10" ht="86.4" x14ac:dyDescent="0.3">
      <c r="A3" s="6">
        <v>1</v>
      </c>
      <c r="B3" s="1" t="s">
        <v>30</v>
      </c>
      <c r="C3" s="6" t="s">
        <v>4</v>
      </c>
      <c r="D3" s="5">
        <v>45803</v>
      </c>
      <c r="E3" s="6">
        <f>G3-D3</f>
        <v>0</v>
      </c>
      <c r="F3" s="6">
        <f>E3/7</f>
        <v>0</v>
      </c>
      <c r="G3" s="5">
        <v>45803</v>
      </c>
      <c r="H3" s="3" t="s">
        <v>55</v>
      </c>
      <c r="I3" s="4">
        <v>45</v>
      </c>
      <c r="J3" s="35">
        <v>1</v>
      </c>
    </row>
    <row r="4" spans="1:10" ht="57.6" x14ac:dyDescent="0.3">
      <c r="A4" s="6">
        <v>2</v>
      </c>
      <c r="B4" s="1" t="s">
        <v>26</v>
      </c>
      <c r="C4" s="6" t="s">
        <v>5</v>
      </c>
      <c r="D4" s="5">
        <v>45658</v>
      </c>
      <c r="E4" s="6">
        <f>G4-D4</f>
        <v>0</v>
      </c>
      <c r="F4" s="6">
        <f t="shared" ref="F4:F32" si="0">E4/7</f>
        <v>0</v>
      </c>
      <c r="G4" s="5">
        <v>45658</v>
      </c>
      <c r="H4" s="3" t="s">
        <v>56</v>
      </c>
      <c r="I4" s="4">
        <v>25</v>
      </c>
      <c r="J4" s="35">
        <v>1</v>
      </c>
    </row>
    <row r="5" spans="1:10" ht="57.6" x14ac:dyDescent="0.3">
      <c r="A5" s="6">
        <v>3</v>
      </c>
      <c r="B5" s="1" t="s">
        <v>31</v>
      </c>
      <c r="C5" s="6" t="s">
        <v>6</v>
      </c>
      <c r="D5" s="5">
        <v>45658</v>
      </c>
      <c r="E5" s="6">
        <f>G5-D5</f>
        <v>0</v>
      </c>
      <c r="F5" s="6">
        <f t="shared" si="0"/>
        <v>0</v>
      </c>
      <c r="G5" s="5">
        <v>45658</v>
      </c>
      <c r="H5" s="3" t="s">
        <v>56</v>
      </c>
      <c r="I5" s="4">
        <v>25</v>
      </c>
      <c r="J5" s="35">
        <v>1</v>
      </c>
    </row>
    <row r="6" spans="1:10" s="7" customFormat="1" x14ac:dyDescent="0.3">
      <c r="A6" s="21">
        <v>4</v>
      </c>
      <c r="B6" s="8" t="s">
        <v>27</v>
      </c>
      <c r="C6" s="21" t="s">
        <v>7</v>
      </c>
      <c r="D6" s="16" t="s">
        <v>57</v>
      </c>
      <c r="E6" s="16" t="s">
        <v>57</v>
      </c>
      <c r="F6" s="16" t="s">
        <v>57</v>
      </c>
      <c r="G6" s="16" t="s">
        <v>57</v>
      </c>
      <c r="H6" s="9" t="s">
        <v>57</v>
      </c>
      <c r="I6" s="9" t="s">
        <v>57</v>
      </c>
      <c r="J6" s="36" t="s">
        <v>57</v>
      </c>
    </row>
    <row r="7" spans="1:10" ht="28.8" x14ac:dyDescent="0.3">
      <c r="A7" s="6">
        <v>5</v>
      </c>
      <c r="B7" s="1" t="s">
        <v>28</v>
      </c>
      <c r="C7" s="6" t="s">
        <v>8</v>
      </c>
      <c r="D7" s="5">
        <v>45689</v>
      </c>
      <c r="E7" s="6">
        <f t="shared" ref="E7:E17" si="1">G7-D7</f>
        <v>7</v>
      </c>
      <c r="F7" s="23">
        <f t="shared" si="0"/>
        <v>1</v>
      </c>
      <c r="G7" s="5">
        <v>45696</v>
      </c>
      <c r="H7" s="3" t="s">
        <v>58</v>
      </c>
      <c r="I7" s="4">
        <v>15</v>
      </c>
      <c r="J7" s="35">
        <v>1</v>
      </c>
    </row>
    <row r="8" spans="1:10" ht="43.2" x14ac:dyDescent="0.3">
      <c r="A8" s="6">
        <v>6</v>
      </c>
      <c r="B8" s="1" t="s">
        <v>32</v>
      </c>
      <c r="C8" s="6" t="s">
        <v>9</v>
      </c>
      <c r="D8" s="5">
        <v>45797</v>
      </c>
      <c r="E8" s="6">
        <f t="shared" si="1"/>
        <v>6</v>
      </c>
      <c r="F8" s="23">
        <f t="shared" si="0"/>
        <v>0.8571428571428571</v>
      </c>
      <c r="G8" s="5">
        <v>45803</v>
      </c>
      <c r="H8" s="3" t="s">
        <v>59</v>
      </c>
      <c r="I8" s="4">
        <v>20</v>
      </c>
      <c r="J8" s="35">
        <v>1</v>
      </c>
    </row>
    <row r="9" spans="1:10" ht="28.8" x14ac:dyDescent="0.3">
      <c r="A9" s="6">
        <v>7</v>
      </c>
      <c r="B9" s="1" t="s">
        <v>33</v>
      </c>
      <c r="C9" s="6" t="s">
        <v>10</v>
      </c>
      <c r="D9" s="5">
        <v>45803</v>
      </c>
      <c r="E9" s="6">
        <f t="shared" si="1"/>
        <v>0</v>
      </c>
      <c r="F9" s="6">
        <f t="shared" si="0"/>
        <v>0</v>
      </c>
      <c r="G9" s="5">
        <v>45803</v>
      </c>
      <c r="H9" s="3" t="s">
        <v>60</v>
      </c>
      <c r="I9" s="4">
        <v>30</v>
      </c>
      <c r="J9" s="35">
        <v>1</v>
      </c>
    </row>
    <row r="10" spans="1:10" x14ac:dyDescent="0.3">
      <c r="A10" s="6">
        <v>8</v>
      </c>
      <c r="B10" s="1" t="s">
        <v>34</v>
      </c>
      <c r="C10" s="6" t="s">
        <v>11</v>
      </c>
      <c r="D10" s="5">
        <v>45803</v>
      </c>
      <c r="E10" s="6">
        <f t="shared" si="1"/>
        <v>0</v>
      </c>
      <c r="F10" s="6">
        <f t="shared" si="0"/>
        <v>0</v>
      </c>
      <c r="G10" s="5">
        <v>45803</v>
      </c>
      <c r="H10" s="4" t="s">
        <v>57</v>
      </c>
      <c r="I10" s="4" t="s">
        <v>57</v>
      </c>
      <c r="J10" s="35">
        <v>1</v>
      </c>
    </row>
    <row r="11" spans="1:10" ht="28.8" x14ac:dyDescent="0.3">
      <c r="A11" s="6">
        <v>9</v>
      </c>
      <c r="B11" s="1" t="s">
        <v>35</v>
      </c>
      <c r="C11" s="6" t="s">
        <v>11</v>
      </c>
      <c r="D11" s="5">
        <v>45803</v>
      </c>
      <c r="E11" s="6">
        <f t="shared" si="1"/>
        <v>0</v>
      </c>
      <c r="F11" s="6">
        <f t="shared" si="0"/>
        <v>0</v>
      </c>
      <c r="G11" s="5">
        <v>45803</v>
      </c>
      <c r="H11" s="3" t="s">
        <v>61</v>
      </c>
      <c r="I11" s="4">
        <v>20</v>
      </c>
      <c r="J11" s="35">
        <v>1</v>
      </c>
    </row>
    <row r="12" spans="1:10" ht="43.2" x14ac:dyDescent="0.3">
      <c r="A12" s="6">
        <v>10</v>
      </c>
      <c r="B12" s="1" t="s">
        <v>36</v>
      </c>
      <c r="C12" s="6" t="s">
        <v>12</v>
      </c>
      <c r="D12" s="5">
        <v>45803</v>
      </c>
      <c r="E12" s="6">
        <f t="shared" si="1"/>
        <v>0</v>
      </c>
      <c r="F12" s="6">
        <f t="shared" si="0"/>
        <v>0</v>
      </c>
      <c r="G12" s="5">
        <v>45803</v>
      </c>
      <c r="H12" s="3" t="s">
        <v>62</v>
      </c>
      <c r="I12" s="4">
        <v>15</v>
      </c>
      <c r="J12" s="35">
        <v>1</v>
      </c>
    </row>
    <row r="13" spans="1:10" x14ac:dyDescent="0.3">
      <c r="A13" s="22">
        <v>11</v>
      </c>
      <c r="B13" s="12" t="s">
        <v>85</v>
      </c>
      <c r="C13" s="22" t="s">
        <v>12</v>
      </c>
      <c r="D13" s="24">
        <v>45803</v>
      </c>
      <c r="E13" s="6">
        <f t="shared" si="1"/>
        <v>0</v>
      </c>
      <c r="F13" s="6">
        <f t="shared" si="0"/>
        <v>0</v>
      </c>
      <c r="G13" s="24">
        <v>45803</v>
      </c>
      <c r="H13" s="13" t="s">
        <v>86</v>
      </c>
      <c r="I13" s="14">
        <v>15</v>
      </c>
      <c r="J13" s="37">
        <v>1</v>
      </c>
    </row>
    <row r="14" spans="1:10" ht="28.8" x14ac:dyDescent="0.3">
      <c r="A14" s="6">
        <v>11</v>
      </c>
      <c r="B14" s="1" t="s">
        <v>37</v>
      </c>
      <c r="C14" s="6" t="s">
        <v>13</v>
      </c>
      <c r="D14" s="5">
        <v>46179</v>
      </c>
      <c r="E14" s="6">
        <f t="shared" si="1"/>
        <v>0</v>
      </c>
      <c r="F14" s="6">
        <f t="shared" si="0"/>
        <v>0</v>
      </c>
      <c r="G14" s="5">
        <v>46179</v>
      </c>
      <c r="H14" s="3" t="s">
        <v>63</v>
      </c>
      <c r="I14" s="4">
        <v>10</v>
      </c>
      <c r="J14" s="35">
        <v>1</v>
      </c>
    </row>
    <row r="15" spans="1:10" ht="43.2" x14ac:dyDescent="0.3">
      <c r="A15" s="6">
        <v>12</v>
      </c>
      <c r="B15" s="1" t="s">
        <v>38</v>
      </c>
      <c r="C15" s="6" t="s">
        <v>14</v>
      </c>
      <c r="D15" s="5">
        <v>46003</v>
      </c>
      <c r="E15" s="6">
        <f t="shared" si="1"/>
        <v>0</v>
      </c>
      <c r="F15" s="6">
        <f t="shared" si="0"/>
        <v>0</v>
      </c>
      <c r="G15" s="5">
        <v>46003</v>
      </c>
      <c r="H15" s="3" t="s">
        <v>64</v>
      </c>
      <c r="I15" s="4">
        <v>15</v>
      </c>
      <c r="J15" s="35">
        <v>1</v>
      </c>
    </row>
    <row r="16" spans="1:10" x14ac:dyDescent="0.3">
      <c r="A16" s="6">
        <v>13</v>
      </c>
      <c r="B16" s="2" t="s">
        <v>39</v>
      </c>
      <c r="C16" s="6" t="s">
        <v>14</v>
      </c>
      <c r="D16" s="5">
        <v>46126</v>
      </c>
      <c r="E16" s="6">
        <f t="shared" si="1"/>
        <v>0</v>
      </c>
      <c r="F16" s="6">
        <f t="shared" si="0"/>
        <v>0</v>
      </c>
      <c r="G16" s="5">
        <v>46126</v>
      </c>
      <c r="H16" t="s">
        <v>65</v>
      </c>
      <c r="I16" s="4">
        <v>25</v>
      </c>
      <c r="J16" s="35">
        <v>1</v>
      </c>
    </row>
    <row r="17" spans="1:10" ht="43.2" x14ac:dyDescent="0.3">
      <c r="A17" s="6">
        <v>14</v>
      </c>
      <c r="B17" s="1" t="s">
        <v>40</v>
      </c>
      <c r="C17" s="6" t="s">
        <v>15</v>
      </c>
      <c r="D17" s="5">
        <v>46126</v>
      </c>
      <c r="E17" s="6">
        <f t="shared" si="1"/>
        <v>0</v>
      </c>
      <c r="F17" s="6">
        <f t="shared" si="0"/>
        <v>0</v>
      </c>
      <c r="G17" s="5">
        <v>46126</v>
      </c>
      <c r="H17" s="3" t="s">
        <v>66</v>
      </c>
      <c r="I17" s="4">
        <v>20</v>
      </c>
      <c r="J17" s="35">
        <v>1</v>
      </c>
    </row>
    <row r="18" spans="1:10" ht="28.8" x14ac:dyDescent="0.3">
      <c r="A18" s="21">
        <v>15</v>
      </c>
      <c r="B18" s="8" t="s">
        <v>41</v>
      </c>
      <c r="C18" s="21" t="s">
        <v>16</v>
      </c>
      <c r="D18" s="16" t="s">
        <v>57</v>
      </c>
      <c r="E18" s="16" t="s">
        <v>57</v>
      </c>
      <c r="F18" s="16" t="s">
        <v>57</v>
      </c>
      <c r="G18" s="16" t="s">
        <v>57</v>
      </c>
      <c r="H18" s="10" t="s">
        <v>67</v>
      </c>
      <c r="I18" s="9">
        <v>15</v>
      </c>
      <c r="J18" s="36" t="s">
        <v>57</v>
      </c>
    </row>
    <row r="19" spans="1:10" ht="28.8" x14ac:dyDescent="0.3">
      <c r="A19" s="6">
        <v>16</v>
      </c>
      <c r="B19" s="1" t="s">
        <v>42</v>
      </c>
      <c r="C19" s="6" t="s">
        <v>17</v>
      </c>
      <c r="D19" s="5">
        <v>46126</v>
      </c>
      <c r="E19" s="6">
        <f t="shared" ref="E19:E26" si="2">G19-D19</f>
        <v>0</v>
      </c>
      <c r="F19" s="6">
        <f t="shared" si="0"/>
        <v>0</v>
      </c>
      <c r="G19" s="5">
        <v>46126</v>
      </c>
      <c r="H19" s="3" t="s">
        <v>68</v>
      </c>
      <c r="I19" s="4">
        <v>20</v>
      </c>
      <c r="J19" s="35">
        <v>1</v>
      </c>
    </row>
    <row r="20" spans="1:10" x14ac:dyDescent="0.3">
      <c r="A20" s="6">
        <v>17</v>
      </c>
      <c r="B20" s="1" t="s">
        <v>43</v>
      </c>
      <c r="C20" s="6" t="s">
        <v>18</v>
      </c>
      <c r="D20" s="5">
        <v>46126</v>
      </c>
      <c r="E20" s="6">
        <f t="shared" si="2"/>
        <v>0</v>
      </c>
      <c r="F20" s="6">
        <f t="shared" si="0"/>
        <v>0</v>
      </c>
      <c r="G20" s="5">
        <v>46126</v>
      </c>
      <c r="H20" t="s">
        <v>69</v>
      </c>
      <c r="I20" s="4">
        <v>25</v>
      </c>
      <c r="J20" s="35">
        <v>1</v>
      </c>
    </row>
    <row r="21" spans="1:10" x14ac:dyDescent="0.3">
      <c r="A21" s="6">
        <v>18</v>
      </c>
      <c r="B21" s="1" t="s">
        <v>44</v>
      </c>
      <c r="C21" s="6" t="s">
        <v>19</v>
      </c>
      <c r="D21" s="5">
        <v>46073</v>
      </c>
      <c r="E21" s="6">
        <f t="shared" si="2"/>
        <v>0</v>
      </c>
      <c r="F21" s="6">
        <f t="shared" si="0"/>
        <v>0</v>
      </c>
      <c r="G21" s="5">
        <v>46073</v>
      </c>
      <c r="H21" t="s">
        <v>70</v>
      </c>
      <c r="I21" s="4">
        <v>10</v>
      </c>
      <c r="J21" s="35">
        <v>1</v>
      </c>
    </row>
    <row r="22" spans="1:10" x14ac:dyDescent="0.3">
      <c r="A22" s="6">
        <v>19</v>
      </c>
      <c r="B22" s="1" t="s">
        <v>45</v>
      </c>
      <c r="C22" s="6" t="s">
        <v>20</v>
      </c>
      <c r="D22" s="5">
        <v>46133</v>
      </c>
      <c r="E22" s="6">
        <f t="shared" si="2"/>
        <v>0</v>
      </c>
      <c r="F22" s="6">
        <f t="shared" si="0"/>
        <v>0</v>
      </c>
      <c r="G22" s="5">
        <v>46133</v>
      </c>
      <c r="H22" t="s">
        <v>71</v>
      </c>
      <c r="I22" s="4">
        <v>5</v>
      </c>
      <c r="J22" s="35">
        <v>1</v>
      </c>
    </row>
    <row r="23" spans="1:10" ht="18.45" customHeight="1" x14ac:dyDescent="0.3">
      <c r="A23" s="22">
        <v>20</v>
      </c>
      <c r="B23" s="12" t="s">
        <v>81</v>
      </c>
      <c r="C23" s="22" t="s">
        <v>84</v>
      </c>
      <c r="D23" s="24">
        <v>46174</v>
      </c>
      <c r="E23" s="6">
        <f t="shared" si="2"/>
        <v>0</v>
      </c>
      <c r="F23" s="6">
        <f t="shared" si="0"/>
        <v>0</v>
      </c>
      <c r="G23" s="24">
        <v>46174</v>
      </c>
      <c r="H23" s="11" t="s">
        <v>87</v>
      </c>
      <c r="I23" s="14"/>
      <c r="J23" s="37">
        <v>0</v>
      </c>
    </row>
    <row r="24" spans="1:10" x14ac:dyDescent="0.3">
      <c r="A24" s="22">
        <v>21</v>
      </c>
      <c r="B24" s="12" t="s">
        <v>82</v>
      </c>
      <c r="C24" s="22" t="s">
        <v>21</v>
      </c>
      <c r="D24" s="25">
        <v>46190</v>
      </c>
      <c r="E24" s="6">
        <f t="shared" si="2"/>
        <v>27</v>
      </c>
      <c r="F24" s="23">
        <f t="shared" si="0"/>
        <v>3.8571428571428572</v>
      </c>
      <c r="G24" s="25">
        <v>46217</v>
      </c>
      <c r="H24" s="11" t="s">
        <v>88</v>
      </c>
      <c r="I24" s="14"/>
      <c r="J24" s="37">
        <v>0</v>
      </c>
    </row>
    <row r="25" spans="1:10" x14ac:dyDescent="0.3">
      <c r="A25" s="22">
        <v>22</v>
      </c>
      <c r="B25" s="12" t="s">
        <v>83</v>
      </c>
      <c r="C25" s="22" t="s">
        <v>21</v>
      </c>
      <c r="D25" s="25">
        <v>46218</v>
      </c>
      <c r="E25" s="6">
        <f t="shared" si="2"/>
        <v>27</v>
      </c>
      <c r="F25" s="23">
        <f t="shared" si="0"/>
        <v>3.8571428571428572</v>
      </c>
      <c r="G25" s="25">
        <v>46245</v>
      </c>
      <c r="H25" s="11" t="s">
        <v>72</v>
      </c>
      <c r="I25" s="14">
        <v>15</v>
      </c>
      <c r="J25" s="37">
        <v>0</v>
      </c>
    </row>
    <row r="26" spans="1:10" x14ac:dyDescent="0.3">
      <c r="A26" s="6">
        <v>23</v>
      </c>
      <c r="B26" s="1" t="s">
        <v>46</v>
      </c>
      <c r="C26" s="6" t="s">
        <v>22</v>
      </c>
      <c r="D26" s="5">
        <v>46163</v>
      </c>
      <c r="E26" s="6">
        <f t="shared" si="2"/>
        <v>8</v>
      </c>
      <c r="F26" s="23">
        <f t="shared" si="0"/>
        <v>1.1428571428571428</v>
      </c>
      <c r="G26" s="5">
        <v>46171</v>
      </c>
      <c r="H26" t="s">
        <v>73</v>
      </c>
      <c r="I26" s="4">
        <v>5</v>
      </c>
      <c r="J26" s="35">
        <v>0</v>
      </c>
    </row>
    <row r="27" spans="1:10" x14ac:dyDescent="0.3">
      <c r="A27" s="21">
        <v>24</v>
      </c>
      <c r="B27" s="8" t="s">
        <v>51</v>
      </c>
      <c r="C27" s="21" t="s">
        <v>11</v>
      </c>
      <c r="D27" s="16" t="s">
        <v>57</v>
      </c>
      <c r="E27" s="16" t="s">
        <v>57</v>
      </c>
      <c r="F27" s="16" t="s">
        <v>57</v>
      </c>
      <c r="G27" s="16" t="s">
        <v>57</v>
      </c>
      <c r="H27" s="7" t="s">
        <v>74</v>
      </c>
      <c r="I27" s="9">
        <v>20</v>
      </c>
      <c r="J27" s="36">
        <v>0</v>
      </c>
    </row>
    <row r="28" spans="1:10" x14ac:dyDescent="0.3">
      <c r="A28" s="6">
        <v>25</v>
      </c>
      <c r="B28" s="1" t="s">
        <v>29</v>
      </c>
      <c r="C28" s="6" t="s">
        <v>23</v>
      </c>
      <c r="D28" s="25">
        <v>46245</v>
      </c>
      <c r="E28" s="6">
        <f>G28-D28</f>
        <v>11</v>
      </c>
      <c r="F28" s="23">
        <f t="shared" si="0"/>
        <v>1.5714285714285714</v>
      </c>
      <c r="G28" s="5">
        <v>46256</v>
      </c>
      <c r="H28" t="s">
        <v>75</v>
      </c>
      <c r="I28" s="4">
        <v>10</v>
      </c>
      <c r="J28" s="35">
        <v>0</v>
      </c>
    </row>
    <row r="29" spans="1:10" x14ac:dyDescent="0.3">
      <c r="A29" s="6">
        <v>26</v>
      </c>
      <c r="B29" s="1" t="s">
        <v>47</v>
      </c>
      <c r="C29" s="6" t="s">
        <v>23</v>
      </c>
      <c r="D29" s="5">
        <v>46388</v>
      </c>
      <c r="E29" s="6">
        <f>G29-D29</f>
        <v>0</v>
      </c>
      <c r="F29" s="6">
        <f t="shared" si="0"/>
        <v>0</v>
      </c>
      <c r="G29" s="5">
        <v>46388</v>
      </c>
      <c r="H29" t="s">
        <v>76</v>
      </c>
      <c r="I29" s="4">
        <v>25</v>
      </c>
      <c r="J29" s="35">
        <v>0</v>
      </c>
    </row>
    <row r="30" spans="1:10" x14ac:dyDescent="0.3">
      <c r="A30" s="6">
        <v>27</v>
      </c>
      <c r="B30" s="1" t="s">
        <v>48</v>
      </c>
      <c r="C30" s="6" t="s">
        <v>6</v>
      </c>
      <c r="D30" s="26"/>
      <c r="E30" s="6">
        <f>G30-D30</f>
        <v>0</v>
      </c>
      <c r="F30" s="6">
        <f t="shared" si="0"/>
        <v>0</v>
      </c>
      <c r="G30" s="26"/>
      <c r="H30" t="s">
        <v>77</v>
      </c>
      <c r="I30" s="4">
        <v>5</v>
      </c>
      <c r="J30" s="35">
        <v>0</v>
      </c>
    </row>
    <row r="31" spans="1:10" x14ac:dyDescent="0.3">
      <c r="A31" s="6">
        <v>28</v>
      </c>
      <c r="B31" s="1" t="s">
        <v>49</v>
      </c>
      <c r="C31" s="6" t="s">
        <v>24</v>
      </c>
      <c r="D31" s="5">
        <v>46269</v>
      </c>
      <c r="E31" s="6">
        <f>G31-D31</f>
        <v>0</v>
      </c>
      <c r="F31" s="6">
        <f t="shared" si="0"/>
        <v>0</v>
      </c>
      <c r="G31" s="5">
        <v>46269</v>
      </c>
      <c r="H31" t="s">
        <v>78</v>
      </c>
      <c r="I31" s="4">
        <v>15</v>
      </c>
      <c r="J31" s="35">
        <v>0</v>
      </c>
    </row>
    <row r="32" spans="1:10" x14ac:dyDescent="0.3">
      <c r="A32" s="6">
        <v>29</v>
      </c>
      <c r="B32" s="1" t="s">
        <v>50</v>
      </c>
      <c r="C32" s="6" t="s">
        <v>25</v>
      </c>
      <c r="D32" s="26"/>
      <c r="E32" s="6">
        <f>G32-D32</f>
        <v>0</v>
      </c>
      <c r="F32" s="6">
        <f t="shared" si="0"/>
        <v>0</v>
      </c>
      <c r="G32" s="26"/>
      <c r="H32" t="s">
        <v>79</v>
      </c>
      <c r="I32" s="4">
        <v>5</v>
      </c>
      <c r="J32" s="3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D495-70FB-46A6-A3D3-D8F1307AF82E}">
  <dimension ref="A1:J32"/>
  <sheetViews>
    <sheetView topLeftCell="A17" zoomScale="120" zoomScaleNormal="120" workbookViewId="0">
      <selection activeCell="D1" sqref="D1:D1048576"/>
    </sheetView>
  </sheetViews>
  <sheetFormatPr defaultColWidth="8.88671875" defaultRowHeight="14.4" x14ac:dyDescent="0.3"/>
  <cols>
    <col min="1" max="1" width="12.109375" style="6" customWidth="1"/>
    <col min="2" max="2" width="42.6640625" customWidth="1"/>
    <col min="3" max="3" width="20.5546875" style="6" bestFit="1" customWidth="1"/>
    <col min="4" max="4" width="11.5546875" style="5" customWidth="1"/>
    <col min="5" max="5" width="14" style="6" hidden="1" customWidth="1"/>
    <col min="6" max="6" width="10" style="6" customWidth="1"/>
    <col min="7" max="7" width="11.5546875" style="5" customWidth="1"/>
    <col min="8" max="8" width="28.33203125" customWidth="1"/>
    <col min="9" max="9" width="17.109375" style="6" customWidth="1"/>
    <col min="10" max="10" width="13" style="4" customWidth="1"/>
  </cols>
  <sheetData>
    <row r="1" spans="1:10" ht="33" customHeight="1" x14ac:dyDescent="0.3">
      <c r="A1" s="38" t="s">
        <v>54</v>
      </c>
      <c r="B1" s="29" t="s">
        <v>93</v>
      </c>
    </row>
    <row r="2" spans="1:10" s="4" customFormat="1" ht="27.6" customHeight="1" x14ac:dyDescent="0.3">
      <c r="A2" s="17" t="s">
        <v>90</v>
      </c>
      <c r="B2" s="18" t="s">
        <v>0</v>
      </c>
      <c r="C2" s="18" t="s">
        <v>1</v>
      </c>
      <c r="D2" s="19" t="s">
        <v>52</v>
      </c>
      <c r="E2" s="20" t="s">
        <v>89</v>
      </c>
      <c r="F2" s="20" t="s">
        <v>91</v>
      </c>
      <c r="G2" s="19" t="s">
        <v>53</v>
      </c>
      <c r="H2" s="18" t="s">
        <v>2</v>
      </c>
      <c r="I2" s="18" t="s">
        <v>3</v>
      </c>
      <c r="J2" s="18" t="s">
        <v>80</v>
      </c>
    </row>
    <row r="3" spans="1:10" ht="86.4" x14ac:dyDescent="0.3">
      <c r="A3" s="6">
        <v>1</v>
      </c>
      <c r="B3" s="1" t="s">
        <v>30</v>
      </c>
      <c r="C3" s="6" t="s">
        <v>4</v>
      </c>
      <c r="D3" s="5">
        <v>45803</v>
      </c>
      <c r="E3" s="6">
        <f t="shared" ref="E3:E17" si="0">G3-D3</f>
        <v>0</v>
      </c>
      <c r="F3" s="6">
        <f>E3/7</f>
        <v>0</v>
      </c>
      <c r="G3" s="5">
        <v>45803</v>
      </c>
      <c r="H3" s="3" t="s">
        <v>55</v>
      </c>
      <c r="I3" s="4">
        <v>45</v>
      </c>
      <c r="J3" s="35">
        <v>1</v>
      </c>
    </row>
    <row r="4" spans="1:10" ht="57.6" x14ac:dyDescent="0.3">
      <c r="A4" s="6">
        <v>2</v>
      </c>
      <c r="B4" s="1" t="s">
        <v>26</v>
      </c>
      <c r="C4" s="6" t="s">
        <v>5</v>
      </c>
      <c r="D4" s="5">
        <v>45658</v>
      </c>
      <c r="E4" s="6">
        <f t="shared" si="0"/>
        <v>0</v>
      </c>
      <c r="F4" s="6">
        <f t="shared" ref="F4:F32" si="1">E4/7</f>
        <v>0</v>
      </c>
      <c r="G4" s="5">
        <v>45658</v>
      </c>
      <c r="H4" s="3" t="s">
        <v>56</v>
      </c>
      <c r="I4" s="4">
        <v>25</v>
      </c>
      <c r="J4" s="35">
        <v>1</v>
      </c>
    </row>
    <row r="5" spans="1:10" ht="57.6" x14ac:dyDescent="0.3">
      <c r="A5" s="6">
        <v>3</v>
      </c>
      <c r="B5" s="1" t="s">
        <v>31</v>
      </c>
      <c r="C5" s="6" t="s">
        <v>6</v>
      </c>
      <c r="D5" s="5">
        <v>45658</v>
      </c>
      <c r="E5" s="6">
        <f t="shared" si="0"/>
        <v>0</v>
      </c>
      <c r="F5" s="6">
        <f t="shared" si="1"/>
        <v>0</v>
      </c>
      <c r="G5" s="5">
        <v>45658</v>
      </c>
      <c r="H5" s="3" t="s">
        <v>56</v>
      </c>
      <c r="I5" s="4">
        <v>25</v>
      </c>
      <c r="J5" s="35">
        <v>1</v>
      </c>
    </row>
    <row r="6" spans="1:10" s="32" customFormat="1" x14ac:dyDescent="0.3">
      <c r="A6" s="30">
        <v>4</v>
      </c>
      <c r="B6" s="1" t="s">
        <v>27</v>
      </c>
      <c r="C6" s="30" t="s">
        <v>7</v>
      </c>
      <c r="D6" s="33">
        <v>46146</v>
      </c>
      <c r="E6" s="6">
        <f t="shared" si="0"/>
        <v>14</v>
      </c>
      <c r="F6" s="34">
        <f>E6/7</f>
        <v>2</v>
      </c>
      <c r="G6" s="5">
        <v>46160</v>
      </c>
      <c r="H6" s="31" t="s">
        <v>57</v>
      </c>
      <c r="I6" s="31" t="s">
        <v>57</v>
      </c>
      <c r="J6" s="35" t="s">
        <v>57</v>
      </c>
    </row>
    <row r="7" spans="1:10" ht="28.8" x14ac:dyDescent="0.3">
      <c r="A7" s="6">
        <v>5</v>
      </c>
      <c r="B7" s="1" t="s">
        <v>28</v>
      </c>
      <c r="C7" s="6" t="s">
        <v>8</v>
      </c>
      <c r="D7" s="5">
        <v>45689</v>
      </c>
      <c r="E7" s="6">
        <f t="shared" si="0"/>
        <v>7</v>
      </c>
      <c r="F7" s="23">
        <f t="shared" si="1"/>
        <v>1</v>
      </c>
      <c r="G7" s="5">
        <v>45696</v>
      </c>
      <c r="H7" s="3" t="s">
        <v>58</v>
      </c>
      <c r="I7" s="4">
        <v>15</v>
      </c>
      <c r="J7" s="35">
        <v>1</v>
      </c>
    </row>
    <row r="8" spans="1:10" ht="43.2" x14ac:dyDescent="0.3">
      <c r="A8" s="6">
        <v>6</v>
      </c>
      <c r="B8" s="1" t="s">
        <v>32</v>
      </c>
      <c r="C8" s="6" t="s">
        <v>9</v>
      </c>
      <c r="D8" s="5">
        <v>45797</v>
      </c>
      <c r="E8" s="6">
        <f t="shared" si="0"/>
        <v>6</v>
      </c>
      <c r="F8" s="23">
        <f t="shared" si="1"/>
        <v>0.8571428571428571</v>
      </c>
      <c r="G8" s="5">
        <v>45803</v>
      </c>
      <c r="H8" s="3" t="s">
        <v>59</v>
      </c>
      <c r="I8" s="4">
        <v>20</v>
      </c>
      <c r="J8" s="35">
        <v>1</v>
      </c>
    </row>
    <row r="9" spans="1:10" ht="28.8" x14ac:dyDescent="0.3">
      <c r="A9" s="6">
        <v>7</v>
      </c>
      <c r="B9" s="1" t="s">
        <v>33</v>
      </c>
      <c r="C9" s="6" t="s">
        <v>10</v>
      </c>
      <c r="D9" s="5">
        <v>45803</v>
      </c>
      <c r="E9" s="6">
        <f t="shared" si="0"/>
        <v>0</v>
      </c>
      <c r="F9" s="6">
        <f t="shared" si="1"/>
        <v>0</v>
      </c>
      <c r="G9" s="5">
        <v>45803</v>
      </c>
      <c r="H9" s="3" t="s">
        <v>60</v>
      </c>
      <c r="I9" s="4">
        <v>30</v>
      </c>
      <c r="J9" s="35">
        <v>1</v>
      </c>
    </row>
    <row r="10" spans="1:10" x14ac:dyDescent="0.3">
      <c r="A10" s="6">
        <v>8</v>
      </c>
      <c r="B10" s="1" t="s">
        <v>34</v>
      </c>
      <c r="C10" s="6" t="s">
        <v>11</v>
      </c>
      <c r="D10" s="5">
        <v>45803</v>
      </c>
      <c r="E10" s="6">
        <f t="shared" si="0"/>
        <v>0</v>
      </c>
      <c r="F10" s="6">
        <f t="shared" si="1"/>
        <v>0</v>
      </c>
      <c r="G10" s="5">
        <v>45803</v>
      </c>
      <c r="H10" s="4" t="s">
        <v>57</v>
      </c>
      <c r="I10" s="4" t="s">
        <v>57</v>
      </c>
      <c r="J10" s="35">
        <v>1</v>
      </c>
    </row>
    <row r="11" spans="1:10" ht="28.8" x14ac:dyDescent="0.3">
      <c r="A11" s="6">
        <v>9</v>
      </c>
      <c r="B11" s="1" t="s">
        <v>35</v>
      </c>
      <c r="C11" s="6" t="s">
        <v>11</v>
      </c>
      <c r="D11" s="5">
        <v>45803</v>
      </c>
      <c r="E11" s="6">
        <f t="shared" si="0"/>
        <v>0</v>
      </c>
      <c r="F11" s="6">
        <f t="shared" si="1"/>
        <v>0</v>
      </c>
      <c r="G11" s="5">
        <v>45803</v>
      </c>
      <c r="H11" s="3" t="s">
        <v>61</v>
      </c>
      <c r="I11" s="4">
        <v>20</v>
      </c>
      <c r="J11" s="35">
        <v>1</v>
      </c>
    </row>
    <row r="12" spans="1:10" ht="43.2" x14ac:dyDescent="0.3">
      <c r="A12" s="6">
        <v>10</v>
      </c>
      <c r="B12" s="1" t="s">
        <v>36</v>
      </c>
      <c r="C12" s="6" t="s">
        <v>12</v>
      </c>
      <c r="D12" s="5">
        <v>45803</v>
      </c>
      <c r="E12" s="6">
        <f t="shared" si="0"/>
        <v>0</v>
      </c>
      <c r="F12" s="6">
        <f t="shared" si="1"/>
        <v>0</v>
      </c>
      <c r="G12" s="5">
        <v>45803</v>
      </c>
      <c r="H12" s="3" t="s">
        <v>62</v>
      </c>
      <c r="I12" s="4">
        <v>15</v>
      </c>
      <c r="J12" s="35">
        <v>1</v>
      </c>
    </row>
    <row r="13" spans="1:10" x14ac:dyDescent="0.3">
      <c r="A13" s="22">
        <v>11</v>
      </c>
      <c r="B13" s="12" t="s">
        <v>85</v>
      </c>
      <c r="C13" s="22" t="s">
        <v>12</v>
      </c>
      <c r="D13" s="24">
        <v>45803</v>
      </c>
      <c r="E13" s="6">
        <f t="shared" si="0"/>
        <v>0</v>
      </c>
      <c r="F13" s="6">
        <f t="shared" si="1"/>
        <v>0</v>
      </c>
      <c r="G13" s="24">
        <v>45803</v>
      </c>
      <c r="H13" s="13" t="s">
        <v>86</v>
      </c>
      <c r="I13" s="14">
        <v>15</v>
      </c>
      <c r="J13" s="37">
        <v>1</v>
      </c>
    </row>
    <row r="14" spans="1:10" ht="28.8" x14ac:dyDescent="0.3">
      <c r="A14" s="6">
        <v>11</v>
      </c>
      <c r="B14" s="1" t="s">
        <v>37</v>
      </c>
      <c r="C14" s="6" t="s">
        <v>13</v>
      </c>
      <c r="D14" s="5">
        <v>46179</v>
      </c>
      <c r="E14" s="6">
        <f t="shared" si="0"/>
        <v>0</v>
      </c>
      <c r="F14" s="6">
        <f t="shared" si="1"/>
        <v>0</v>
      </c>
      <c r="G14" s="5">
        <v>46179</v>
      </c>
      <c r="H14" s="3" t="s">
        <v>63</v>
      </c>
      <c r="I14" s="4">
        <v>10</v>
      </c>
      <c r="J14" s="35">
        <v>1</v>
      </c>
    </row>
    <row r="15" spans="1:10" ht="43.2" x14ac:dyDescent="0.3">
      <c r="A15" s="6">
        <v>12</v>
      </c>
      <c r="B15" s="1" t="s">
        <v>38</v>
      </c>
      <c r="C15" s="6" t="s">
        <v>14</v>
      </c>
      <c r="D15" s="5">
        <v>46003</v>
      </c>
      <c r="E15" s="6">
        <f t="shared" si="0"/>
        <v>0</v>
      </c>
      <c r="F15" s="6">
        <f t="shared" si="1"/>
        <v>0</v>
      </c>
      <c r="G15" s="5">
        <v>46003</v>
      </c>
      <c r="H15" s="3" t="s">
        <v>64</v>
      </c>
      <c r="I15" s="4">
        <v>15</v>
      </c>
      <c r="J15" s="35">
        <v>1</v>
      </c>
    </row>
    <row r="16" spans="1:10" x14ac:dyDescent="0.3">
      <c r="A16" s="6">
        <v>13</v>
      </c>
      <c r="B16" s="2" t="s">
        <v>39</v>
      </c>
      <c r="C16" s="6" t="s">
        <v>14</v>
      </c>
      <c r="D16" s="5">
        <v>46126</v>
      </c>
      <c r="E16" s="6">
        <f t="shared" si="0"/>
        <v>0</v>
      </c>
      <c r="F16" s="6">
        <f t="shared" si="1"/>
        <v>0</v>
      </c>
      <c r="G16" s="5">
        <v>46126</v>
      </c>
      <c r="H16" t="s">
        <v>65</v>
      </c>
      <c r="I16" s="4">
        <v>25</v>
      </c>
      <c r="J16" s="35">
        <v>1</v>
      </c>
    </row>
    <row r="17" spans="1:10" ht="43.2" x14ac:dyDescent="0.3">
      <c r="A17" s="6">
        <v>14</v>
      </c>
      <c r="B17" s="1" t="s">
        <v>40</v>
      </c>
      <c r="C17" s="6" t="s">
        <v>15</v>
      </c>
      <c r="D17" s="5">
        <v>46126</v>
      </c>
      <c r="E17" s="6">
        <f t="shared" si="0"/>
        <v>0</v>
      </c>
      <c r="F17" s="6">
        <f t="shared" si="1"/>
        <v>0</v>
      </c>
      <c r="G17" s="5">
        <v>46126</v>
      </c>
      <c r="H17" s="3" t="s">
        <v>66</v>
      </c>
      <c r="I17" s="4">
        <v>20</v>
      </c>
      <c r="J17" s="35">
        <v>1</v>
      </c>
    </row>
    <row r="18" spans="1:10" ht="28.8" x14ac:dyDescent="0.3">
      <c r="A18" s="21">
        <v>15</v>
      </c>
      <c r="B18" s="8" t="s">
        <v>41</v>
      </c>
      <c r="C18" s="21" t="s">
        <v>16</v>
      </c>
      <c r="D18" s="16" t="s">
        <v>57</v>
      </c>
      <c r="E18" s="16" t="s">
        <v>57</v>
      </c>
      <c r="F18" s="16" t="s">
        <v>57</v>
      </c>
      <c r="G18" s="16" t="s">
        <v>57</v>
      </c>
      <c r="H18" s="10" t="s">
        <v>67</v>
      </c>
      <c r="I18" s="9">
        <v>15</v>
      </c>
      <c r="J18" s="36" t="s">
        <v>57</v>
      </c>
    </row>
    <row r="19" spans="1:10" ht="28.8" x14ac:dyDescent="0.3">
      <c r="A19" s="6">
        <v>16</v>
      </c>
      <c r="B19" s="1" t="s">
        <v>42</v>
      </c>
      <c r="C19" s="6" t="s">
        <v>17</v>
      </c>
      <c r="D19" s="5">
        <v>46126</v>
      </c>
      <c r="E19" s="6">
        <f t="shared" ref="E19:E26" si="2">G19-D19</f>
        <v>0</v>
      </c>
      <c r="F19" s="6">
        <f t="shared" si="1"/>
        <v>0</v>
      </c>
      <c r="G19" s="5">
        <v>46126</v>
      </c>
      <c r="H19" s="3" t="s">
        <v>68</v>
      </c>
      <c r="I19" s="4">
        <v>20</v>
      </c>
      <c r="J19" s="35">
        <v>1</v>
      </c>
    </row>
    <row r="20" spans="1:10" x14ac:dyDescent="0.3">
      <c r="A20" s="6">
        <v>17</v>
      </c>
      <c r="B20" s="1" t="s">
        <v>43</v>
      </c>
      <c r="C20" s="6" t="s">
        <v>18</v>
      </c>
      <c r="D20" s="5">
        <v>46126</v>
      </c>
      <c r="E20" s="6">
        <f t="shared" si="2"/>
        <v>0</v>
      </c>
      <c r="F20" s="6">
        <f t="shared" si="1"/>
        <v>0</v>
      </c>
      <c r="G20" s="5">
        <v>46126</v>
      </c>
      <c r="H20" t="s">
        <v>69</v>
      </c>
      <c r="I20" s="4">
        <v>25</v>
      </c>
      <c r="J20" s="35">
        <v>1</v>
      </c>
    </row>
    <row r="21" spans="1:10" x14ac:dyDescent="0.3">
      <c r="A21" s="6">
        <v>18</v>
      </c>
      <c r="B21" s="1" t="s">
        <v>44</v>
      </c>
      <c r="C21" s="6" t="s">
        <v>19</v>
      </c>
      <c r="D21" s="5">
        <v>46073</v>
      </c>
      <c r="E21" s="6">
        <f t="shared" si="2"/>
        <v>0</v>
      </c>
      <c r="F21" s="6">
        <f t="shared" si="1"/>
        <v>0</v>
      </c>
      <c r="G21" s="5">
        <v>46073</v>
      </c>
      <c r="H21" t="s">
        <v>70</v>
      </c>
      <c r="I21" s="4">
        <v>10</v>
      </c>
      <c r="J21" s="35">
        <v>1</v>
      </c>
    </row>
    <row r="22" spans="1:10" x14ac:dyDescent="0.3">
      <c r="A22" s="6">
        <v>19</v>
      </c>
      <c r="B22" s="1" t="s">
        <v>45</v>
      </c>
      <c r="C22" s="6" t="s">
        <v>20</v>
      </c>
      <c r="D22" s="5">
        <v>46133</v>
      </c>
      <c r="E22" s="6">
        <f t="shared" si="2"/>
        <v>0</v>
      </c>
      <c r="F22" s="6">
        <f t="shared" si="1"/>
        <v>0</v>
      </c>
      <c r="G22" s="5">
        <v>46133</v>
      </c>
      <c r="H22" t="s">
        <v>71</v>
      </c>
      <c r="I22" s="4">
        <v>5</v>
      </c>
      <c r="J22" s="35">
        <v>1</v>
      </c>
    </row>
    <row r="23" spans="1:10" ht="18.45" customHeight="1" x14ac:dyDescent="0.3">
      <c r="A23" s="22">
        <v>20</v>
      </c>
      <c r="B23" s="12" t="s">
        <v>81</v>
      </c>
      <c r="C23" s="22" t="s">
        <v>84</v>
      </c>
      <c r="D23" s="15">
        <v>46196</v>
      </c>
      <c r="E23" s="6">
        <f t="shared" si="2"/>
        <v>6</v>
      </c>
      <c r="F23" s="23">
        <f t="shared" si="1"/>
        <v>0.8571428571428571</v>
      </c>
      <c r="G23" s="15">
        <v>46202</v>
      </c>
      <c r="H23" s="11" t="s">
        <v>87</v>
      </c>
      <c r="I23" s="14"/>
      <c r="J23" s="37">
        <v>0</v>
      </c>
    </row>
    <row r="24" spans="1:10" x14ac:dyDescent="0.3">
      <c r="A24" s="22">
        <v>21</v>
      </c>
      <c r="B24" s="12" t="s">
        <v>82</v>
      </c>
      <c r="C24" s="22" t="s">
        <v>21</v>
      </c>
      <c r="D24" s="25">
        <v>46217</v>
      </c>
      <c r="E24" s="6">
        <f t="shared" si="2"/>
        <v>27</v>
      </c>
      <c r="F24" s="23">
        <f t="shared" si="1"/>
        <v>3.8571428571428572</v>
      </c>
      <c r="G24" s="25">
        <v>46244</v>
      </c>
      <c r="H24" s="11" t="s">
        <v>88</v>
      </c>
      <c r="I24" s="14"/>
      <c r="J24" s="37">
        <v>0</v>
      </c>
    </row>
    <row r="25" spans="1:10" x14ac:dyDescent="0.3">
      <c r="A25" s="22">
        <v>22</v>
      </c>
      <c r="B25" s="12" t="s">
        <v>83</v>
      </c>
      <c r="C25" s="22" t="s">
        <v>21</v>
      </c>
      <c r="D25" s="25">
        <v>46245</v>
      </c>
      <c r="E25" s="6">
        <f t="shared" si="2"/>
        <v>27</v>
      </c>
      <c r="F25" s="23">
        <f t="shared" si="1"/>
        <v>3.8571428571428572</v>
      </c>
      <c r="G25" s="25">
        <v>46272</v>
      </c>
      <c r="H25" s="11" t="s">
        <v>72</v>
      </c>
      <c r="I25" s="14">
        <v>15</v>
      </c>
      <c r="J25" s="37">
        <v>0</v>
      </c>
    </row>
    <row r="26" spans="1:10" x14ac:dyDescent="0.3">
      <c r="A26" s="6">
        <v>23</v>
      </c>
      <c r="B26" s="1" t="s">
        <v>46</v>
      </c>
      <c r="C26" s="6" t="s">
        <v>22</v>
      </c>
      <c r="D26" s="5">
        <v>46163</v>
      </c>
      <c r="E26" s="6">
        <f t="shared" si="2"/>
        <v>8</v>
      </c>
      <c r="F26" s="23">
        <f t="shared" si="1"/>
        <v>1.1428571428571428</v>
      </c>
      <c r="G26" s="5">
        <v>46171</v>
      </c>
      <c r="H26" t="s">
        <v>73</v>
      </c>
      <c r="I26" s="4">
        <v>5</v>
      </c>
      <c r="J26" s="35">
        <v>0</v>
      </c>
    </row>
    <row r="27" spans="1:10" x14ac:dyDescent="0.3">
      <c r="A27" s="21">
        <v>24</v>
      </c>
      <c r="B27" s="8" t="s">
        <v>51</v>
      </c>
      <c r="C27" s="21" t="s">
        <v>11</v>
      </c>
      <c r="D27" s="16" t="s">
        <v>57</v>
      </c>
      <c r="E27" s="16" t="s">
        <v>57</v>
      </c>
      <c r="F27" s="16" t="s">
        <v>57</v>
      </c>
      <c r="G27" s="16" t="s">
        <v>57</v>
      </c>
      <c r="H27" s="7" t="s">
        <v>74</v>
      </c>
      <c r="I27" s="9">
        <v>20</v>
      </c>
      <c r="J27" s="36">
        <v>0</v>
      </c>
    </row>
    <row r="28" spans="1:10" x14ac:dyDescent="0.3">
      <c r="A28" s="6">
        <v>25</v>
      </c>
      <c r="B28" s="1" t="s">
        <v>29</v>
      </c>
      <c r="C28" s="6" t="s">
        <v>23</v>
      </c>
      <c r="D28" s="25">
        <v>46245</v>
      </c>
      <c r="E28" s="6">
        <f>G28-D28</f>
        <v>11</v>
      </c>
      <c r="F28" s="23">
        <f t="shared" si="1"/>
        <v>1.5714285714285714</v>
      </c>
      <c r="G28" s="5">
        <v>46256</v>
      </c>
      <c r="H28" t="s">
        <v>75</v>
      </c>
      <c r="I28" s="4">
        <v>10</v>
      </c>
      <c r="J28" s="35">
        <v>0</v>
      </c>
    </row>
    <row r="29" spans="1:10" x14ac:dyDescent="0.3">
      <c r="A29" s="6">
        <v>26</v>
      </c>
      <c r="B29" s="1" t="s">
        <v>47</v>
      </c>
      <c r="C29" s="6" t="s">
        <v>23</v>
      </c>
      <c r="D29" s="26"/>
      <c r="E29" s="6">
        <f>G29-D29</f>
        <v>0</v>
      </c>
      <c r="F29" s="6">
        <f t="shared" si="1"/>
        <v>0</v>
      </c>
      <c r="G29" s="26"/>
      <c r="H29" t="s">
        <v>76</v>
      </c>
      <c r="I29" s="4">
        <v>25</v>
      </c>
      <c r="J29" s="35">
        <v>0</v>
      </c>
    </row>
    <row r="30" spans="1:10" x14ac:dyDescent="0.3">
      <c r="A30" s="6">
        <v>27</v>
      </c>
      <c r="B30" s="1" t="s">
        <v>48</v>
      </c>
      <c r="C30" s="6" t="s">
        <v>6</v>
      </c>
      <c r="D30" s="26"/>
      <c r="E30" s="6">
        <f>G30-D30</f>
        <v>0</v>
      </c>
      <c r="F30" s="6">
        <f t="shared" si="1"/>
        <v>0</v>
      </c>
      <c r="G30" s="26"/>
      <c r="H30" t="s">
        <v>77</v>
      </c>
      <c r="I30" s="4">
        <v>5</v>
      </c>
      <c r="J30" s="35">
        <v>0</v>
      </c>
    </row>
    <row r="31" spans="1:10" x14ac:dyDescent="0.3">
      <c r="A31" s="6">
        <v>28</v>
      </c>
      <c r="B31" s="1" t="s">
        <v>49</v>
      </c>
      <c r="C31" s="6" t="s">
        <v>24</v>
      </c>
      <c r="D31" s="15">
        <v>46202</v>
      </c>
      <c r="E31" s="6">
        <f>G31-D31</f>
        <v>9</v>
      </c>
      <c r="F31" s="6">
        <f t="shared" si="1"/>
        <v>1.2857142857142858</v>
      </c>
      <c r="G31" s="5">
        <v>46211</v>
      </c>
      <c r="H31" t="s">
        <v>78</v>
      </c>
      <c r="I31" s="4">
        <v>15</v>
      </c>
      <c r="J31" s="35">
        <v>0</v>
      </c>
    </row>
    <row r="32" spans="1:10" x14ac:dyDescent="0.3">
      <c r="A32" s="6">
        <v>29</v>
      </c>
      <c r="B32" s="1" t="s">
        <v>50</v>
      </c>
      <c r="C32" s="6" t="s">
        <v>25</v>
      </c>
      <c r="D32" s="26"/>
      <c r="E32" s="6">
        <f>G32-D32</f>
        <v>0</v>
      </c>
      <c r="F32" s="6">
        <f t="shared" si="1"/>
        <v>0</v>
      </c>
      <c r="G32" s="26"/>
      <c r="H32" t="s">
        <v>79</v>
      </c>
      <c r="I32" s="4">
        <v>5</v>
      </c>
      <c r="J32" s="3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D28F-29DC-464E-AD61-39D92EEE0B4B}">
  <dimension ref="A1:J32"/>
  <sheetViews>
    <sheetView tabSelected="1" zoomScale="120" zoomScaleNormal="120" workbookViewId="0">
      <selection activeCell="D23" sqref="D23"/>
    </sheetView>
  </sheetViews>
  <sheetFormatPr defaultColWidth="8.88671875" defaultRowHeight="14.4" x14ac:dyDescent="0.3"/>
  <cols>
    <col min="1" max="1" width="12.109375" style="6" customWidth="1"/>
    <col min="2" max="2" width="42.6640625" customWidth="1"/>
    <col min="3" max="3" width="20.5546875" style="6" bestFit="1" customWidth="1"/>
    <col min="4" max="4" width="11.5546875" style="5" customWidth="1"/>
    <col min="5" max="5" width="14" style="4" customWidth="1"/>
    <col min="6" max="6" width="10" style="4" customWidth="1"/>
    <col min="7" max="7" width="11.5546875" style="5" customWidth="1"/>
    <col min="8" max="8" width="28.33203125" customWidth="1"/>
    <col min="9" max="9" width="17.109375" style="6" customWidth="1"/>
    <col min="10" max="10" width="13" style="4" customWidth="1"/>
  </cols>
  <sheetData>
    <row r="1" spans="1:10" x14ac:dyDescent="0.3">
      <c r="A1" s="38" t="s">
        <v>54</v>
      </c>
      <c r="B1" s="39" t="s">
        <v>94</v>
      </c>
    </row>
    <row r="2" spans="1:10" s="4" customFormat="1" ht="27.6" customHeight="1" x14ac:dyDescent="0.3">
      <c r="A2" s="17" t="s">
        <v>90</v>
      </c>
      <c r="B2" s="18" t="s">
        <v>0</v>
      </c>
      <c r="C2" s="18" t="s">
        <v>1</v>
      </c>
      <c r="D2" s="19" t="s">
        <v>52</v>
      </c>
      <c r="E2" s="20" t="s">
        <v>89</v>
      </c>
      <c r="F2" s="20" t="s">
        <v>91</v>
      </c>
      <c r="G2" s="19" t="s">
        <v>53</v>
      </c>
      <c r="H2" s="18" t="s">
        <v>2</v>
      </c>
      <c r="I2" s="18" t="s">
        <v>3</v>
      </c>
      <c r="J2" s="18" t="s">
        <v>80</v>
      </c>
    </row>
    <row r="3" spans="1:10" ht="86.4" x14ac:dyDescent="0.3">
      <c r="A3" s="6">
        <v>1</v>
      </c>
      <c r="B3" s="1" t="s">
        <v>30</v>
      </c>
      <c r="C3" s="6" t="s">
        <v>4</v>
      </c>
      <c r="D3" s="5">
        <v>45943</v>
      </c>
      <c r="E3" s="4">
        <f>Table134[[#This Row],[Finish date]]-Table134[[#This Row],[Start date ]]</f>
        <v>0</v>
      </c>
      <c r="F3" s="4">
        <f>Table134[[#This Row],[Leadtime
 (Days)]]/7</f>
        <v>0</v>
      </c>
      <c r="G3" s="5">
        <v>45943</v>
      </c>
      <c r="H3" s="3" t="s">
        <v>55</v>
      </c>
      <c r="I3" s="4">
        <v>45</v>
      </c>
      <c r="J3" s="35">
        <v>1</v>
      </c>
    </row>
    <row r="4" spans="1:10" ht="57.6" x14ac:dyDescent="0.3">
      <c r="A4" s="6">
        <v>2</v>
      </c>
      <c r="B4" s="1" t="s">
        <v>26</v>
      </c>
      <c r="C4" s="6" t="s">
        <v>5</v>
      </c>
      <c r="D4" s="15">
        <v>46044</v>
      </c>
      <c r="E4" s="4">
        <f>Table134[[#This Row],[Finish date]]-Table134[[#This Row],[Start date ]]</f>
        <v>7</v>
      </c>
      <c r="F4" s="4">
        <f>Table134[[#This Row],[Leadtime
 (Days)]]/7</f>
        <v>1</v>
      </c>
      <c r="G4" s="15">
        <v>46051</v>
      </c>
      <c r="H4" s="3" t="s">
        <v>56</v>
      </c>
      <c r="I4" s="4">
        <v>25</v>
      </c>
      <c r="J4" s="35">
        <v>1</v>
      </c>
    </row>
    <row r="5" spans="1:10" ht="57.6" x14ac:dyDescent="0.3">
      <c r="A5" s="6">
        <v>3</v>
      </c>
      <c r="B5" s="1" t="s">
        <v>31</v>
      </c>
      <c r="C5" s="6" t="s">
        <v>6</v>
      </c>
      <c r="D5" s="15">
        <v>46062</v>
      </c>
      <c r="E5" s="4">
        <f>Table134[[#This Row],[Finish date]]-Table134[[#This Row],[Start date ]]</f>
        <v>4</v>
      </c>
      <c r="F5" s="41">
        <f>Table134[[#This Row],[Leadtime
 (Days)]]/7</f>
        <v>0.5714285714285714</v>
      </c>
      <c r="G5" s="15">
        <v>46066</v>
      </c>
      <c r="H5" s="3" t="s">
        <v>56</v>
      </c>
      <c r="I5" s="4">
        <v>25</v>
      </c>
      <c r="J5" s="35">
        <v>1</v>
      </c>
    </row>
    <row r="6" spans="1:10" s="7" customFormat="1" x14ac:dyDescent="0.3">
      <c r="A6" s="21">
        <v>4</v>
      </c>
      <c r="B6" s="8" t="s">
        <v>27</v>
      </c>
      <c r="C6" s="21" t="s">
        <v>7</v>
      </c>
      <c r="D6" s="40" t="s">
        <v>57</v>
      </c>
      <c r="E6" s="9" t="s">
        <v>57</v>
      </c>
      <c r="F6" s="9" t="s">
        <v>57</v>
      </c>
      <c r="G6" s="16" t="s">
        <v>57</v>
      </c>
      <c r="H6" s="9" t="s">
        <v>57</v>
      </c>
      <c r="I6" s="9" t="s">
        <v>57</v>
      </c>
      <c r="J6" s="36" t="s">
        <v>57</v>
      </c>
    </row>
    <row r="7" spans="1:10" ht="28.8" x14ac:dyDescent="0.3">
      <c r="A7" s="6">
        <v>5</v>
      </c>
      <c r="B7" s="1" t="s">
        <v>28</v>
      </c>
      <c r="C7" s="6" t="s">
        <v>8</v>
      </c>
      <c r="D7" s="15">
        <v>46066</v>
      </c>
      <c r="E7" s="4">
        <v>14</v>
      </c>
      <c r="F7" s="4">
        <f>Table134[[#This Row],[Leadtime
 (Days)]]/7</f>
        <v>2</v>
      </c>
      <c r="G7" s="15">
        <v>46108</v>
      </c>
      <c r="H7" s="3" t="s">
        <v>58</v>
      </c>
      <c r="I7" s="4">
        <v>15</v>
      </c>
      <c r="J7" s="35">
        <v>1</v>
      </c>
    </row>
    <row r="8" spans="1:10" ht="43.2" x14ac:dyDescent="0.3">
      <c r="A8" s="6">
        <v>6</v>
      </c>
      <c r="B8" s="1" t="s">
        <v>32</v>
      </c>
      <c r="C8" s="6" t="s">
        <v>9</v>
      </c>
      <c r="D8" s="5">
        <v>46132</v>
      </c>
      <c r="E8" s="4">
        <f>Table134[[#This Row],[Finish date]]-Table134[[#This Row],[Start date ]]</f>
        <v>18</v>
      </c>
      <c r="F8" s="41">
        <f>Table134[[#This Row],[Leadtime
 (Days)]]/7</f>
        <v>2.5714285714285716</v>
      </c>
      <c r="G8" s="5">
        <v>46150</v>
      </c>
      <c r="H8" s="3" t="s">
        <v>59</v>
      </c>
      <c r="I8" s="4">
        <v>20</v>
      </c>
      <c r="J8" s="35">
        <v>1</v>
      </c>
    </row>
    <row r="9" spans="1:10" ht="28.8" x14ac:dyDescent="0.3">
      <c r="A9" s="6">
        <v>7</v>
      </c>
      <c r="B9" s="1" t="s">
        <v>33</v>
      </c>
      <c r="C9" s="6" t="s">
        <v>10</v>
      </c>
      <c r="D9" s="26"/>
      <c r="E9" s="4">
        <f>Table134[[#This Row],[Finish date]]-Table134[[#This Row],[Start date ]]</f>
        <v>0</v>
      </c>
      <c r="F9" s="4">
        <f>Table134[[#This Row],[Leadtime
 (Days)]]/7</f>
        <v>0</v>
      </c>
      <c r="G9" s="26"/>
      <c r="H9" s="3" t="s">
        <v>60</v>
      </c>
      <c r="I9" s="4">
        <v>30</v>
      </c>
      <c r="J9" s="35">
        <v>0</v>
      </c>
    </row>
    <row r="10" spans="1:10" x14ac:dyDescent="0.3">
      <c r="A10" s="6">
        <v>8</v>
      </c>
      <c r="B10" s="1" t="s">
        <v>34</v>
      </c>
      <c r="C10" s="6" t="s">
        <v>11</v>
      </c>
      <c r="D10" s="5">
        <v>46164</v>
      </c>
      <c r="E10" s="4">
        <f>Table134[[#This Row],[Finish date]]-Table134[[#This Row],[Start date ]]</f>
        <v>0</v>
      </c>
      <c r="F10" s="4">
        <f>Table134[[#This Row],[Leadtime
 (Days)]]/7</f>
        <v>0</v>
      </c>
      <c r="G10" s="5">
        <v>46164</v>
      </c>
      <c r="H10" s="4" t="s">
        <v>57</v>
      </c>
      <c r="I10" s="4" t="s">
        <v>57</v>
      </c>
      <c r="J10" s="35">
        <v>0</v>
      </c>
    </row>
    <row r="11" spans="1:10" ht="28.8" x14ac:dyDescent="0.3">
      <c r="A11" s="6">
        <v>9</v>
      </c>
      <c r="B11" s="1" t="s">
        <v>35</v>
      </c>
      <c r="C11" s="6" t="s">
        <v>11</v>
      </c>
      <c r="D11" s="5">
        <v>46171</v>
      </c>
      <c r="E11" s="4">
        <f>Table134[[#This Row],[Finish date]]-Table134[[#This Row],[Start date ]]</f>
        <v>0</v>
      </c>
      <c r="F11" s="4">
        <f>Table134[[#This Row],[Leadtime
 (Days)]]/7</f>
        <v>0</v>
      </c>
      <c r="G11" s="5">
        <v>46171</v>
      </c>
      <c r="H11" s="3" t="s">
        <v>61</v>
      </c>
      <c r="I11" s="4">
        <v>20</v>
      </c>
      <c r="J11" s="35">
        <v>0</v>
      </c>
    </row>
    <row r="12" spans="1:10" ht="43.2" x14ac:dyDescent="0.3">
      <c r="A12" s="6">
        <v>10</v>
      </c>
      <c r="B12" s="1" t="s">
        <v>36</v>
      </c>
      <c r="C12" s="6" t="s">
        <v>12</v>
      </c>
      <c r="D12" s="5">
        <v>46171</v>
      </c>
      <c r="E12" s="4">
        <f>Table134[[#This Row],[Finish date]]-Table134[[#This Row],[Start date ]]</f>
        <v>7</v>
      </c>
      <c r="F12" s="4">
        <f>Table134[[#This Row],[Leadtime
 (Days)]]/7</f>
        <v>1</v>
      </c>
      <c r="G12" s="5">
        <v>46178</v>
      </c>
      <c r="H12" s="3" t="s">
        <v>62</v>
      </c>
      <c r="I12" s="4">
        <v>15</v>
      </c>
      <c r="J12" s="35">
        <v>0</v>
      </c>
    </row>
    <row r="13" spans="1:10" x14ac:dyDescent="0.3">
      <c r="A13" s="22">
        <v>11</v>
      </c>
      <c r="B13" s="12" t="s">
        <v>85</v>
      </c>
      <c r="C13" s="22" t="s">
        <v>12</v>
      </c>
      <c r="D13" s="5">
        <v>46178</v>
      </c>
      <c r="E13" s="4">
        <f>Table134[[#This Row],[Finish date]]-Table134[[#This Row],[Start date ]]</f>
        <v>7</v>
      </c>
      <c r="F13" s="4">
        <f>Table134[[#This Row],[Leadtime
 (Days)]]/7</f>
        <v>1</v>
      </c>
      <c r="G13" s="24">
        <v>46185</v>
      </c>
      <c r="H13" s="13" t="s">
        <v>86</v>
      </c>
      <c r="I13" s="14">
        <v>15</v>
      </c>
      <c r="J13" s="37">
        <v>0</v>
      </c>
    </row>
    <row r="14" spans="1:10" ht="28.8" x14ac:dyDescent="0.3">
      <c r="A14" s="6">
        <v>11</v>
      </c>
      <c r="B14" s="1" t="s">
        <v>37</v>
      </c>
      <c r="C14" s="6" t="s">
        <v>13</v>
      </c>
      <c r="D14" s="5">
        <v>46174</v>
      </c>
      <c r="E14" s="4">
        <f>Table134[[#This Row],[Finish date]]-Table134[[#This Row],[Start date ]]</f>
        <v>4</v>
      </c>
      <c r="F14" s="4">
        <f>Table134[[#This Row],[Leadtime
 (Days)]]/7</f>
        <v>0.5714285714285714</v>
      </c>
      <c r="G14" s="5">
        <v>46178</v>
      </c>
      <c r="H14" s="3" t="s">
        <v>63</v>
      </c>
      <c r="I14" s="4">
        <v>10</v>
      </c>
      <c r="J14" s="35">
        <v>0.5</v>
      </c>
    </row>
    <row r="15" spans="1:10" ht="43.2" x14ac:dyDescent="0.3">
      <c r="A15" s="6">
        <v>12</v>
      </c>
      <c r="B15" s="1" t="s">
        <v>38</v>
      </c>
      <c r="C15" s="6" t="s">
        <v>14</v>
      </c>
      <c r="D15" s="5">
        <v>46195</v>
      </c>
      <c r="E15" s="4">
        <f>Table134[[#This Row],[Finish date]]-Table134[[#This Row],[Start date ]]</f>
        <v>0</v>
      </c>
      <c r="F15" s="4">
        <f>Table134[[#This Row],[Leadtime
 (Days)]]/7</f>
        <v>0</v>
      </c>
      <c r="G15" s="5">
        <v>46195</v>
      </c>
      <c r="H15" s="3" t="s">
        <v>64</v>
      </c>
      <c r="I15" s="4">
        <v>15</v>
      </c>
      <c r="J15" s="35">
        <v>0</v>
      </c>
    </row>
    <row r="16" spans="1:10" x14ac:dyDescent="0.3">
      <c r="A16" s="6">
        <v>13</v>
      </c>
      <c r="B16" s="2" t="s">
        <v>39</v>
      </c>
      <c r="C16" s="6" t="s">
        <v>14</v>
      </c>
      <c r="D16" s="5">
        <v>46220</v>
      </c>
      <c r="E16" s="4">
        <f>Table134[[#This Row],[Finish date]]-Table134[[#This Row],[Start date ]]</f>
        <v>0</v>
      </c>
      <c r="F16" s="4">
        <f>Table134[[#This Row],[Leadtime
 (Days)]]/7</f>
        <v>0</v>
      </c>
      <c r="G16" s="5">
        <v>46220</v>
      </c>
      <c r="H16" t="s">
        <v>65</v>
      </c>
      <c r="I16" s="4">
        <v>25</v>
      </c>
      <c r="J16" s="35">
        <v>0</v>
      </c>
    </row>
    <row r="17" spans="1:10" ht="43.2" x14ac:dyDescent="0.3">
      <c r="A17" s="6">
        <v>14</v>
      </c>
      <c r="B17" s="1" t="s">
        <v>40</v>
      </c>
      <c r="C17" s="6" t="s">
        <v>15</v>
      </c>
      <c r="D17" s="5">
        <v>46248</v>
      </c>
      <c r="E17" s="4">
        <f>Table134[[#This Row],[Finish date]]-Table134[[#This Row],[Start date ]]</f>
        <v>0</v>
      </c>
      <c r="F17" s="4">
        <f>Table134[[#This Row],[Leadtime
 (Days)]]/7</f>
        <v>0</v>
      </c>
      <c r="G17" s="5">
        <v>46248</v>
      </c>
      <c r="H17" s="3" t="s">
        <v>66</v>
      </c>
      <c r="I17" s="4">
        <v>20</v>
      </c>
      <c r="J17" s="35">
        <v>0</v>
      </c>
    </row>
    <row r="18" spans="1:10" s="7" customFormat="1" ht="28.8" x14ac:dyDescent="0.3">
      <c r="A18" s="21">
        <v>15</v>
      </c>
      <c r="B18" s="8" t="s">
        <v>41</v>
      </c>
      <c r="C18" s="21" t="s">
        <v>16</v>
      </c>
      <c r="D18" s="16" t="s">
        <v>57</v>
      </c>
      <c r="E18" s="9" t="s">
        <v>57</v>
      </c>
      <c r="F18" s="9" t="s">
        <v>57</v>
      </c>
      <c r="G18" s="16" t="s">
        <v>57</v>
      </c>
      <c r="H18" s="10" t="s">
        <v>67</v>
      </c>
      <c r="I18" s="9">
        <v>15</v>
      </c>
      <c r="J18" s="36" t="s">
        <v>57</v>
      </c>
    </row>
    <row r="19" spans="1:10" ht="28.8" x14ac:dyDescent="0.3">
      <c r="A19" s="6">
        <v>16</v>
      </c>
      <c r="B19" s="1" t="s">
        <v>42</v>
      </c>
      <c r="C19" s="6" t="s">
        <v>17</v>
      </c>
      <c r="D19" s="5">
        <v>46248</v>
      </c>
      <c r="E19" s="4">
        <f>Table134[[#This Row],[Finish date]]-Table134[[#This Row],[Start date ]]</f>
        <v>0</v>
      </c>
      <c r="F19" s="4">
        <f>Table134[[#This Row],[Leadtime
 (Days)]]/7</f>
        <v>0</v>
      </c>
      <c r="G19" s="5">
        <v>46248</v>
      </c>
      <c r="H19" s="3" t="s">
        <v>68</v>
      </c>
      <c r="I19" s="4">
        <v>20</v>
      </c>
      <c r="J19" s="35">
        <v>0</v>
      </c>
    </row>
    <row r="20" spans="1:10" x14ac:dyDescent="0.3">
      <c r="A20" s="6">
        <v>17</v>
      </c>
      <c r="B20" s="1" t="s">
        <v>43</v>
      </c>
      <c r="C20" s="6" t="s">
        <v>18</v>
      </c>
      <c r="D20" s="5">
        <v>46248</v>
      </c>
      <c r="E20" s="4">
        <f>Table134[[#This Row],[Finish date]]-Table134[[#This Row],[Start date ]]</f>
        <v>7</v>
      </c>
      <c r="F20" s="4">
        <f>Table134[[#This Row],[Leadtime
 (Days)]]/7</f>
        <v>1</v>
      </c>
      <c r="G20" s="5">
        <v>46255</v>
      </c>
      <c r="H20" t="s">
        <v>69</v>
      </c>
      <c r="I20" s="4">
        <v>25</v>
      </c>
      <c r="J20" s="35">
        <v>0</v>
      </c>
    </row>
    <row r="21" spans="1:10" x14ac:dyDescent="0.3">
      <c r="A21" s="6">
        <v>18</v>
      </c>
      <c r="B21" s="1" t="s">
        <v>44</v>
      </c>
      <c r="C21" s="6" t="s">
        <v>19</v>
      </c>
      <c r="D21" s="5">
        <v>46248</v>
      </c>
      <c r="E21" s="4">
        <f>Table134[[#This Row],[Finish date]]-Table134[[#This Row],[Start date ]]</f>
        <v>0</v>
      </c>
      <c r="F21" s="4">
        <f>Table134[[#This Row],[Leadtime
 (Days)]]/7</f>
        <v>0</v>
      </c>
      <c r="G21" s="5">
        <v>46248</v>
      </c>
      <c r="H21" t="s">
        <v>70</v>
      </c>
      <c r="I21" s="4">
        <v>10</v>
      </c>
      <c r="J21" s="35">
        <v>0</v>
      </c>
    </row>
    <row r="22" spans="1:10" x14ac:dyDescent="0.3">
      <c r="A22" s="6">
        <v>19</v>
      </c>
      <c r="B22" s="1" t="s">
        <v>45</v>
      </c>
      <c r="C22" s="6" t="s">
        <v>20</v>
      </c>
      <c r="D22" s="15">
        <v>46227</v>
      </c>
      <c r="E22" s="4">
        <f>Table134[[#This Row],[Finish date]]-Table134[[#This Row],[Start date ]]</f>
        <v>0</v>
      </c>
      <c r="F22" s="4">
        <f>Table134[[#This Row],[Leadtime
 (Days)]]/7</f>
        <v>0</v>
      </c>
      <c r="G22" s="15">
        <v>46227</v>
      </c>
      <c r="H22" t="s">
        <v>71</v>
      </c>
      <c r="I22" s="4">
        <v>5</v>
      </c>
      <c r="J22" s="35">
        <v>0</v>
      </c>
    </row>
    <row r="23" spans="1:10" x14ac:dyDescent="0.3">
      <c r="A23" s="22">
        <v>20</v>
      </c>
      <c r="B23" s="12" t="s">
        <v>81</v>
      </c>
      <c r="C23" s="22" t="s">
        <v>84</v>
      </c>
      <c r="D23" s="15">
        <v>46230</v>
      </c>
      <c r="E23" s="4">
        <f>Table134[[#This Row],[Finish date]]-Table134[[#This Row],[Start date ]]</f>
        <v>4</v>
      </c>
      <c r="F23" s="4">
        <f>Table134[[#This Row],[Leadtime
 (Days)]]/7</f>
        <v>0.5714285714285714</v>
      </c>
      <c r="G23" s="15">
        <v>46234</v>
      </c>
      <c r="H23" s="11" t="s">
        <v>87</v>
      </c>
      <c r="I23" s="14"/>
      <c r="J23" s="37">
        <v>0</v>
      </c>
    </row>
    <row r="24" spans="1:10" x14ac:dyDescent="0.3">
      <c r="A24" s="22">
        <v>21</v>
      </c>
      <c r="B24" s="12" t="s">
        <v>82</v>
      </c>
      <c r="C24" s="22" t="s">
        <v>21</v>
      </c>
      <c r="D24" s="25">
        <v>46251</v>
      </c>
      <c r="E24" s="4">
        <f>Table134[[#This Row],[Finish date]]-Table134[[#This Row],[Start date ]]</f>
        <v>25</v>
      </c>
      <c r="F24" s="4">
        <f>Table134[[#This Row],[Leadtime
 (Days)]]/7</f>
        <v>3.5714285714285716</v>
      </c>
      <c r="G24" s="25">
        <v>46276</v>
      </c>
      <c r="H24" s="11" t="s">
        <v>88</v>
      </c>
      <c r="I24" s="14"/>
      <c r="J24" s="37">
        <v>0</v>
      </c>
    </row>
    <row r="25" spans="1:10" x14ac:dyDescent="0.3">
      <c r="A25" s="22">
        <v>22</v>
      </c>
      <c r="B25" s="12" t="s">
        <v>83</v>
      </c>
      <c r="C25" s="22" t="s">
        <v>21</v>
      </c>
      <c r="D25" s="25">
        <v>46279</v>
      </c>
      <c r="E25" s="4">
        <f>Table134[[#This Row],[Finish date]]-Table134[[#This Row],[Start date ]]</f>
        <v>25</v>
      </c>
      <c r="F25" s="4">
        <f>Table134[[#This Row],[Leadtime
 (Days)]]/7</f>
        <v>3.5714285714285716</v>
      </c>
      <c r="G25" s="25">
        <v>46304</v>
      </c>
      <c r="H25" s="11" t="s">
        <v>72</v>
      </c>
      <c r="I25" s="14">
        <v>15</v>
      </c>
      <c r="J25" s="37">
        <v>0</v>
      </c>
    </row>
    <row r="26" spans="1:10" x14ac:dyDescent="0.3">
      <c r="A26" s="6">
        <v>23</v>
      </c>
      <c r="B26" s="1" t="s">
        <v>46</v>
      </c>
      <c r="C26" s="6" t="s">
        <v>22</v>
      </c>
      <c r="D26" s="25">
        <v>46304</v>
      </c>
      <c r="E26" s="4">
        <f>Table134[[#This Row],[Finish date]]-Table134[[#This Row],[Start date ]]</f>
        <v>0</v>
      </c>
      <c r="F26" s="4">
        <f>Table134[[#This Row],[Leadtime
 (Days)]]/7</f>
        <v>0</v>
      </c>
      <c r="G26" s="25">
        <v>46304</v>
      </c>
      <c r="H26" t="s">
        <v>73</v>
      </c>
      <c r="I26" s="4">
        <v>5</v>
      </c>
      <c r="J26" s="35">
        <v>0</v>
      </c>
    </row>
    <row r="27" spans="1:10" s="7" customFormat="1" x14ac:dyDescent="0.3">
      <c r="A27" s="21">
        <v>24</v>
      </c>
      <c r="B27" s="8" t="s">
        <v>51</v>
      </c>
      <c r="C27" s="21" t="s">
        <v>11</v>
      </c>
      <c r="D27" s="16" t="s">
        <v>57</v>
      </c>
      <c r="E27" s="9" t="s">
        <v>57</v>
      </c>
      <c r="F27" s="9" t="s">
        <v>57</v>
      </c>
      <c r="G27" s="16" t="s">
        <v>57</v>
      </c>
      <c r="H27" s="7" t="s">
        <v>74</v>
      </c>
      <c r="I27" s="9">
        <v>20</v>
      </c>
      <c r="J27" s="36">
        <v>0</v>
      </c>
    </row>
    <row r="28" spans="1:10" x14ac:dyDescent="0.3">
      <c r="A28" s="6">
        <v>25</v>
      </c>
      <c r="B28" s="1" t="s">
        <v>29</v>
      </c>
      <c r="C28" s="6" t="s">
        <v>23</v>
      </c>
      <c r="D28" s="25">
        <v>46304</v>
      </c>
      <c r="E28" s="4">
        <f>Table134[[#This Row],[Finish date]]-Table134[[#This Row],[Start date ]]</f>
        <v>0</v>
      </c>
      <c r="F28" s="4">
        <f>Table134[[#This Row],[Leadtime
 (Days)]]/7</f>
        <v>0</v>
      </c>
      <c r="G28" s="25">
        <v>46304</v>
      </c>
      <c r="H28" t="s">
        <v>75</v>
      </c>
      <c r="I28" s="4">
        <v>10</v>
      </c>
      <c r="J28" s="35">
        <v>0</v>
      </c>
    </row>
    <row r="29" spans="1:10" x14ac:dyDescent="0.3">
      <c r="A29" s="6">
        <v>26</v>
      </c>
      <c r="B29" s="1" t="s">
        <v>47</v>
      </c>
      <c r="C29" s="6" t="s">
        <v>23</v>
      </c>
      <c r="D29" s="15">
        <v>46205</v>
      </c>
      <c r="E29" s="4">
        <f>Table134[[#This Row],[Finish date]]-Table134[[#This Row],[Start date ]]</f>
        <v>6</v>
      </c>
      <c r="F29" s="4">
        <f>Table134[[#This Row],[Leadtime
 (Days)]]/7</f>
        <v>0.8571428571428571</v>
      </c>
      <c r="G29" s="42">
        <v>46211</v>
      </c>
      <c r="H29" t="s">
        <v>76</v>
      </c>
      <c r="I29" s="4">
        <v>25</v>
      </c>
      <c r="J29" s="35">
        <v>0</v>
      </c>
    </row>
    <row r="30" spans="1:10" x14ac:dyDescent="0.3">
      <c r="A30" s="6">
        <v>27</v>
      </c>
      <c r="B30" s="1" t="s">
        <v>48</v>
      </c>
      <c r="C30" s="6" t="s">
        <v>6</v>
      </c>
      <c r="D30" s="42">
        <v>46357</v>
      </c>
      <c r="E30" s="43">
        <f>Table134[[#This Row],[Finish date]]-Table134[[#This Row],[Start date ]]</f>
        <v>0</v>
      </c>
      <c r="F30" s="43">
        <f>Table134[[#This Row],[Leadtime
 (Days)]]/7</f>
        <v>0</v>
      </c>
      <c r="G30" s="42">
        <v>46357</v>
      </c>
      <c r="H30" t="s">
        <v>77</v>
      </c>
      <c r="I30" s="4">
        <v>5</v>
      </c>
      <c r="J30" s="35">
        <v>0</v>
      </c>
    </row>
    <row r="31" spans="1:10" x14ac:dyDescent="0.3">
      <c r="A31" s="6">
        <v>28</v>
      </c>
      <c r="B31" s="1" t="s">
        <v>49</v>
      </c>
      <c r="C31" s="6" t="s">
        <v>24</v>
      </c>
      <c r="D31" s="42">
        <v>46357</v>
      </c>
      <c r="E31" s="43">
        <f>Table134[[#This Row],[Finish date]]-Table134[[#This Row],[Start date ]]</f>
        <v>0</v>
      </c>
      <c r="F31" s="43">
        <f>Table134[[#This Row],[Leadtime
 (Days)]]/7</f>
        <v>0</v>
      </c>
      <c r="G31" s="42">
        <v>46357</v>
      </c>
      <c r="H31" t="s">
        <v>78</v>
      </c>
      <c r="I31" s="4">
        <v>15</v>
      </c>
      <c r="J31" s="35">
        <v>0</v>
      </c>
    </row>
    <row r="32" spans="1:10" x14ac:dyDescent="0.3">
      <c r="A32" s="6">
        <v>29</v>
      </c>
      <c r="B32" s="1" t="s">
        <v>50</v>
      </c>
      <c r="C32" s="6" t="s">
        <v>25</v>
      </c>
      <c r="D32" s="26"/>
      <c r="E32" s="4">
        <f>Table134[[#This Row],[Finish date]]-Table134[[#This Row],[Start date ]]</f>
        <v>0</v>
      </c>
      <c r="F32" s="4">
        <f>Table134[[#This Row],[Leadtime
 (Days)]]/7</f>
        <v>0</v>
      </c>
      <c r="G32" s="26"/>
      <c r="H32" t="s">
        <v>79</v>
      </c>
      <c r="I32" s="4">
        <v>5</v>
      </c>
      <c r="J32" s="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Program - DVE BRP 54mm NC </vt:lpstr>
      <vt:lpstr>ECR Standard- EKP 13 01G</vt:lpstr>
      <vt:lpstr>ECR Standard - EKP 13 01D</vt:lpstr>
      <vt:lpstr>ECR Standard - Nissan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2026-03-23T19:14:52Z</dcterms:created>
  <dcterms:modified xsi:type="dcterms:W3CDTF">2026-05-25T03:39:16Z</dcterms:modified>
</cp:coreProperties>
</file>