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-my.sharepoint.com/personal/agg1slp_bosch_com/Documents/PersonalDrive/Documents/Daily/Daily operation - Backup/P3 Consolidate/"/>
    </mc:Choice>
  </mc:AlternateContent>
  <xr:revisionPtr revIDLastSave="2" documentId="8_{D773E2A9-1FE7-46AC-B11D-67F45D7CEBAE}" xr6:coauthVersionLast="47" xr6:coauthVersionMax="47" xr10:uidLastSave="{E17954D1-66C0-4BDC-A69F-136380B3118C}"/>
  <bookViews>
    <workbookView xWindow="-28920" yWindow="-120" windowWidth="29040" windowHeight="15720" activeTab="2" xr2:uid="{244159EC-EFE9-4E01-88A2-3E95DDF63DAB}"/>
  </bookViews>
  <sheets>
    <sheet name="New Program" sheetId="7" r:id="rId1"/>
    <sheet name="CIP" sheetId="1" r:id="rId2"/>
    <sheet name="ECR - Standard" sheetId="2" r:id="rId3"/>
    <sheet name="ECR Manager Decision" sheetId="3" r:id="rId4"/>
    <sheet name="CO ECR" sheetId="4" r:id="rId5"/>
    <sheet name="Global EC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</calcChain>
</file>

<file path=xl/sharedStrings.xml><?xml version="1.0" encoding="utf-8"?>
<sst xmlns="http://schemas.openxmlformats.org/spreadsheetml/2006/main" count="252" uniqueCount="109">
  <si>
    <t xml:space="preserve">Task </t>
  </si>
  <si>
    <t xml:space="preserve">Responsible </t>
  </si>
  <si>
    <t>Inputs</t>
  </si>
  <si>
    <t xml:space="preserve">Project Award </t>
  </si>
  <si>
    <t>Project Kickoff</t>
  </si>
  <si>
    <t xml:space="preserve">Design phase </t>
  </si>
  <si>
    <t>B- Design freeze</t>
  </si>
  <si>
    <t xml:space="preserve">Drawing release </t>
  </si>
  <si>
    <t xml:space="preserve">Soft tooling </t>
  </si>
  <si>
    <t>DV</t>
  </si>
  <si>
    <t>B-samples</t>
  </si>
  <si>
    <t xml:space="preserve">B-samples production run </t>
  </si>
  <si>
    <t xml:space="preserve">DVP&amp;R </t>
  </si>
  <si>
    <t xml:space="preserve">Workload (%  hrs) </t>
  </si>
  <si>
    <t xml:space="preserve">(ChR) </t>
  </si>
  <si>
    <t>(ChR)</t>
  </si>
  <si>
    <t xml:space="preserve"> (ChR) </t>
  </si>
  <si>
    <t xml:space="preserve">(ENG) </t>
  </si>
  <si>
    <t xml:space="preserve">(PJM/Sales) </t>
  </si>
  <si>
    <t xml:space="preserve"> (PPS)</t>
  </si>
  <si>
    <t xml:space="preserve">(ChR)  </t>
  </si>
  <si>
    <t>(PUQ)</t>
  </si>
  <si>
    <t xml:space="preserve"> (PUQ/ChR)</t>
  </si>
  <si>
    <t xml:space="preserve">(LOG/ChR) </t>
  </si>
  <si>
    <t xml:space="preserve">(ChR/ENG) </t>
  </si>
  <si>
    <t xml:space="preserve">(MFE/ENG/QMM) </t>
  </si>
  <si>
    <t xml:space="preserve">(ChR/PUQ) </t>
  </si>
  <si>
    <t>(ChR/ENG)</t>
  </si>
  <si>
    <t xml:space="preserve"> (ChR)</t>
  </si>
  <si>
    <t>(TEF6)</t>
  </si>
  <si>
    <t xml:space="preserve">(ChR/Lcoal Change Co) </t>
  </si>
  <si>
    <t>(QMM)</t>
  </si>
  <si>
    <t xml:space="preserve">(Sales) </t>
  </si>
  <si>
    <t>(PPS/LOG)</t>
  </si>
  <si>
    <t xml:space="preserve"> (CFT) </t>
  </si>
  <si>
    <t xml:space="preserve">(CFT) </t>
  </si>
  <si>
    <t xml:space="preserve">KO meeting  </t>
  </si>
  <si>
    <t xml:space="preserve">RACE submission for new PN if applies </t>
  </si>
  <si>
    <t xml:space="preserve">Customer acceptance of the ECR </t>
  </si>
  <si>
    <t>Systematic release to supplier</t>
  </si>
  <si>
    <t xml:space="preserve">Business case available   </t>
  </si>
  <si>
    <t xml:space="preserve">TR meeting  </t>
  </si>
  <si>
    <t xml:space="preserve">PTR parts available  </t>
  </si>
  <si>
    <t xml:space="preserve">First part of MP206 completion   </t>
  </si>
  <si>
    <t xml:space="preserve">Counter measurement start date   </t>
  </si>
  <si>
    <t xml:space="preserve">Counter measurement end date   </t>
  </si>
  <si>
    <t xml:space="preserve">DL review and release if applies  </t>
  </si>
  <si>
    <t xml:space="preserve">PTR Date   </t>
  </si>
  <si>
    <t xml:space="preserve">PV start date   </t>
  </si>
  <si>
    <t xml:space="preserve">PV end date   </t>
  </si>
  <si>
    <t xml:space="preserve">PTR and PV report   </t>
  </si>
  <si>
    <t xml:space="preserve">Interim PSW   </t>
  </si>
  <si>
    <t xml:space="preserve">Customer validation completion   </t>
  </si>
  <si>
    <t xml:space="preserve">Final Review presentation  </t>
  </si>
  <si>
    <t xml:space="preserve">New PN release and available in SAP   </t>
  </si>
  <si>
    <t xml:space="preserve">ECR ST40   </t>
  </si>
  <si>
    <t xml:space="preserve">Customer approval (full PSW)   </t>
  </si>
  <si>
    <t xml:space="preserve">PO Update   </t>
  </si>
  <si>
    <t xml:space="preserve">SOP supplier  </t>
  </si>
  <si>
    <t xml:space="preserve">Date of first batch arrival  </t>
  </si>
  <si>
    <t xml:space="preserve">SOP BOSCH  </t>
  </si>
  <si>
    <t xml:space="preserve">ECR close ST48   </t>
  </si>
  <si>
    <t>Full PSW Supplier</t>
  </si>
  <si>
    <t xml:space="preserve">Correction on SAP </t>
  </si>
  <si>
    <t xml:space="preserve">(Doc. Department) </t>
  </si>
  <si>
    <t xml:space="preserve">(ChR/Local Change Co) </t>
  </si>
  <si>
    <t xml:space="preserve">(Local Change Co) </t>
  </si>
  <si>
    <t xml:space="preserve">Start date </t>
  </si>
  <si>
    <t>Leadtime</t>
  </si>
  <si>
    <t>Finish date</t>
  </si>
  <si>
    <t>Leadtime
 (CW)</t>
  </si>
  <si>
    <t xml:space="preserve">Project / ECR: </t>
  </si>
  <si>
    <t xml:space="preserve">New Set up standard alignment </t>
  </si>
  <si>
    <t>Technical Evaluation of new standard</t>
  </si>
  <si>
    <t xml:space="preserve">Change of documentation (set up release format) </t>
  </si>
  <si>
    <t xml:space="preserve">Evaluation / Feedback of new standard </t>
  </si>
  <si>
    <t xml:space="preserve">New Standard implementation </t>
  </si>
  <si>
    <t xml:space="preserve">Change over concept training </t>
  </si>
  <si>
    <t xml:space="preserve">Lessons Learned sharing </t>
  </si>
  <si>
    <t xml:space="preserve">40 / 60 MM development </t>
  </si>
  <si>
    <t>* Edge break measurements</t>
  </si>
  <si>
    <t xml:space="preserve">* ENG Lead development reviews
* Data on how is performed in SlpP, machinning plate line </t>
  </si>
  <si>
    <t>* Business case for supplier 
* Business case for implementation inhouse</t>
  </si>
  <si>
    <t xml:space="preserve">*New standard implemented </t>
  </si>
  <si>
    <t xml:space="preserve">* Supplier feasibility 
*Task force activities, customer meetings
* Quotation for the change from supplier 
* Updated drawing </t>
  </si>
  <si>
    <t xml:space="preserve">*ECR
* Updated drawing
* Customer presentation 
* CTG Checklist </t>
  </si>
  <si>
    <t>NA</t>
  </si>
  <si>
    <t xml:space="preserve">* Customer technical meetings 
* Design definition </t>
  </si>
  <si>
    <t xml:space="preserve">* Updated Drawing 
* Feasilibity confirmation 
* Purchasing Order </t>
  </si>
  <si>
    <t>* PTR parts
* Manufacturing setup</t>
  </si>
  <si>
    <t>* Counter measurement data 
* Analysis results</t>
  </si>
  <si>
    <t>* QMM Test results 
* PTR results (EoL test, airflow)
* DL with proposed deviations</t>
  </si>
  <si>
    <t>* Pieces available with the machined LMS at 15.3°</t>
  </si>
  <si>
    <t>* PTR approval 
* Pieces available within specification</t>
  </si>
  <si>
    <t>* Production validation tests</t>
  </si>
  <si>
    <t>* All test data 
* Validation results
* Teardown Analysis</t>
  </si>
  <si>
    <t>* PTR report
* PV report</t>
  </si>
  <si>
    <t>* Interim PSW
* Customer testing</t>
  </si>
  <si>
    <t>* All validation data</t>
  </si>
  <si>
    <t>* Final approval</t>
  </si>
  <si>
    <t>* PN release confirmation</t>
  </si>
  <si>
    <t>* Complete documentation</t>
  </si>
  <si>
    <t>* Customer approval</t>
  </si>
  <si>
    <t>* All documentation</t>
  </si>
  <si>
    <t>* Full PSW complete</t>
  </si>
  <si>
    <t>* Production readiness</t>
  </si>
  <si>
    <t>* SOP confirmation</t>
  </si>
  <si>
    <t>* First batch received</t>
  </si>
  <si>
    <t>* SOP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</si>
</sst>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14" fontId="2" fillId="0" borderId="0" xfId="0" applyNumberFormat="1" applyFont="1" applyBorder="1" applyAlignment="1">
      <alignment vertical="center" wrapText="1"/>
    </xf>
    <xf numFmtId="14" fontId="3" fillId="0" borderId="0" xfId="0" applyNumberFormat="1" applyFont="1" applyBorder="1" applyAlignment="1">
      <alignment vertical="center" wrapText="1"/>
    </xf>
    <xf numFmtId="0" fontId="3" fillId="0" borderId="0" xfId="0" applyFont="1" applyAlignment="1">
      <alignment horizontal="left" vertical="center" indent="3" readingOrder="1"/>
    </xf>
    <xf numFmtId="0" fontId="0" fillId="0" borderId="0" xfId="0" applyFont="1" applyAlignment="1">
      <alignment horizontal="left" vertical="center" indent="3" readingOrder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vertical="top" readingOrder="1"/>
    </xf>
    <xf numFmtId="0" fontId="0" fillId="0" borderId="0" xfId="0" applyFont="1" applyAlignment="1">
      <alignment horizontal="left" vertical="top" readingOrder="1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68EA-8D7D-43D7-9AD0-2CD39F5BEEB6}">
  <dimension ref="A2:I32"/>
  <sheetViews>
    <sheetView workbookViewId="0">
      <selection activeCell="H24" sqref="H22:H24"/>
    </sheetView>
  </sheetViews>
  <sheetFormatPr defaultRowHeight="14.4" x14ac:dyDescent="0.3"/>
  <cols>
    <col min="2" max="2" width="24.109375" bestFit="1" customWidth="1"/>
  </cols>
  <sheetData>
    <row r="2" spans="1:9" ht="28.8" x14ac:dyDescent="0.3">
      <c r="B2" s="1" t="s">
        <v>0</v>
      </c>
      <c r="C2" s="1" t="s">
        <v>1</v>
      </c>
      <c r="D2" s="3" t="s">
        <v>67</v>
      </c>
      <c r="E2" s="7" t="s">
        <v>70</v>
      </c>
      <c r="F2" s="3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t="s">
        <v>3</v>
      </c>
    </row>
    <row r="4" spans="1:9" x14ac:dyDescent="0.3">
      <c r="A4">
        <v>2</v>
      </c>
      <c r="B4" t="s">
        <v>4</v>
      </c>
    </row>
    <row r="5" spans="1:9" x14ac:dyDescent="0.3">
      <c r="A5">
        <v>3</v>
      </c>
      <c r="B5" t="s">
        <v>5</v>
      </c>
    </row>
    <row r="6" spans="1:9" x14ac:dyDescent="0.3">
      <c r="A6">
        <v>4</v>
      </c>
      <c r="B6" t="s">
        <v>7</v>
      </c>
    </row>
    <row r="7" spans="1:9" x14ac:dyDescent="0.3">
      <c r="A7">
        <v>5</v>
      </c>
      <c r="B7" t="s">
        <v>6</v>
      </c>
    </row>
    <row r="8" spans="1:9" x14ac:dyDescent="0.3">
      <c r="A8">
        <v>6</v>
      </c>
      <c r="B8" t="s">
        <v>8</v>
      </c>
    </row>
    <row r="9" spans="1:9" x14ac:dyDescent="0.3">
      <c r="A9">
        <v>7</v>
      </c>
      <c r="B9" t="s">
        <v>11</v>
      </c>
    </row>
    <row r="10" spans="1:9" x14ac:dyDescent="0.3">
      <c r="A10">
        <v>8</v>
      </c>
      <c r="B10" t="s">
        <v>10</v>
      </c>
    </row>
    <row r="11" spans="1:9" x14ac:dyDescent="0.3">
      <c r="A11">
        <v>9</v>
      </c>
      <c r="B11" t="s">
        <v>9</v>
      </c>
    </row>
    <row r="12" spans="1:9" x14ac:dyDescent="0.3">
      <c r="A12">
        <v>10</v>
      </c>
      <c r="B12" t="s">
        <v>12</v>
      </c>
    </row>
    <row r="13" spans="1:9" x14ac:dyDescent="0.3">
      <c r="A13">
        <v>11</v>
      </c>
    </row>
    <row r="14" spans="1:9" x14ac:dyDescent="0.3">
      <c r="A14">
        <v>12</v>
      </c>
    </row>
    <row r="15" spans="1:9" x14ac:dyDescent="0.3">
      <c r="A15">
        <v>13</v>
      </c>
    </row>
    <row r="16" spans="1:9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C394-1959-41E2-A613-4B48B3676CB7}">
  <dimension ref="A2:I29"/>
  <sheetViews>
    <sheetView zoomScale="120" zoomScaleNormal="120" workbookViewId="0">
      <selection activeCell="G16" sqref="G16"/>
    </sheetView>
  </sheetViews>
  <sheetFormatPr defaultRowHeight="14.4" x14ac:dyDescent="0.3"/>
  <cols>
    <col min="1" max="1" width="8.88671875" style="2"/>
    <col min="2" max="2" width="44.109375" style="10" bestFit="1" customWidth="1"/>
    <col min="3" max="3" width="20.5546875" style="2" bestFit="1" customWidth="1"/>
    <col min="4" max="4" width="14.109375" style="4" customWidth="1"/>
    <col min="5" max="5" width="9.44140625" style="2" customWidth="1"/>
    <col min="6" max="6" width="11.5546875" style="4" customWidth="1"/>
    <col min="7" max="7" width="38.77734375" style="2" customWidth="1"/>
    <col min="8" max="16384" width="8.88671875" style="2"/>
  </cols>
  <sheetData>
    <row r="2" spans="1:9" ht="27.6" customHeight="1" x14ac:dyDescent="0.3">
      <c r="B2" s="1" t="s">
        <v>0</v>
      </c>
      <c r="C2" s="1" t="s">
        <v>1</v>
      </c>
      <c r="D2" s="3" t="s">
        <v>67</v>
      </c>
      <c r="E2" s="7" t="s">
        <v>70</v>
      </c>
      <c r="F2" s="3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s="8" t="s">
        <v>72</v>
      </c>
    </row>
    <row r="4" spans="1:9" x14ac:dyDescent="0.3">
      <c r="A4">
        <v>2</v>
      </c>
      <c r="B4" s="8" t="s">
        <v>73</v>
      </c>
      <c r="G4" s="11" t="s">
        <v>80</v>
      </c>
    </row>
    <row r="5" spans="1:9" ht="43.2" x14ac:dyDescent="0.3">
      <c r="A5">
        <v>3</v>
      </c>
      <c r="B5" s="8" t="s">
        <v>74</v>
      </c>
      <c r="G5" s="12" t="s">
        <v>81</v>
      </c>
    </row>
    <row r="6" spans="1:9" ht="28.8" x14ac:dyDescent="0.3">
      <c r="A6">
        <v>4</v>
      </c>
      <c r="B6" s="8" t="s">
        <v>76</v>
      </c>
      <c r="G6" s="12" t="s">
        <v>82</v>
      </c>
    </row>
    <row r="7" spans="1:9" x14ac:dyDescent="0.3">
      <c r="A7">
        <v>5</v>
      </c>
      <c r="B7" s="8" t="s">
        <v>75</v>
      </c>
      <c r="G7" s="11" t="s">
        <v>83</v>
      </c>
    </row>
    <row r="8" spans="1:9" x14ac:dyDescent="0.3">
      <c r="A8">
        <v>6</v>
      </c>
      <c r="B8" s="8" t="s">
        <v>77</v>
      </c>
    </row>
    <row r="9" spans="1:9" x14ac:dyDescent="0.3">
      <c r="A9">
        <v>7</v>
      </c>
      <c r="B9" s="8" t="s">
        <v>78</v>
      </c>
    </row>
    <row r="10" spans="1:9" x14ac:dyDescent="0.3">
      <c r="B10" s="8"/>
    </row>
    <row r="11" spans="1:9" x14ac:dyDescent="0.3">
      <c r="B11" s="8"/>
    </row>
    <row r="12" spans="1:9" x14ac:dyDescent="0.3">
      <c r="B12" s="8"/>
    </row>
    <row r="13" spans="1:9" x14ac:dyDescent="0.3">
      <c r="B13" s="8"/>
    </row>
    <row r="14" spans="1:9" x14ac:dyDescent="0.3">
      <c r="B14" s="8"/>
    </row>
    <row r="15" spans="1:9" x14ac:dyDescent="0.3">
      <c r="B15" s="9"/>
    </row>
    <row r="16" spans="1:9" x14ac:dyDescent="0.3">
      <c r="B16" s="8"/>
    </row>
    <row r="17" spans="2:2" x14ac:dyDescent="0.3">
      <c r="B17" s="8"/>
    </row>
    <row r="18" spans="2:2" x14ac:dyDescent="0.3">
      <c r="B18" s="8"/>
    </row>
    <row r="19" spans="2:2" x14ac:dyDescent="0.3">
      <c r="B19" s="8"/>
    </row>
    <row r="20" spans="2:2" x14ac:dyDescent="0.3">
      <c r="B20" s="8"/>
    </row>
    <row r="21" spans="2:2" x14ac:dyDescent="0.3">
      <c r="B21" s="8"/>
    </row>
    <row r="22" spans="2:2" x14ac:dyDescent="0.3">
      <c r="B22" s="8"/>
    </row>
    <row r="23" spans="2:2" x14ac:dyDescent="0.3">
      <c r="B23" s="8"/>
    </row>
    <row r="24" spans="2:2" x14ac:dyDescent="0.3">
      <c r="B24" s="8"/>
    </row>
    <row r="25" spans="2:2" x14ac:dyDescent="0.3">
      <c r="B25" s="8"/>
    </row>
    <row r="26" spans="2:2" x14ac:dyDescent="0.3">
      <c r="B26" s="8"/>
    </row>
    <row r="27" spans="2:2" x14ac:dyDescent="0.3">
      <c r="B27" s="8"/>
    </row>
    <row r="28" spans="2:2" x14ac:dyDescent="0.3">
      <c r="B28" s="8"/>
    </row>
    <row r="29" spans="2:2" x14ac:dyDescent="0.3">
      <c r="B2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1A05-1B51-44DA-A647-42FFDC18F32F}">
  <dimension ref="A1:I29"/>
  <sheetViews>
    <sheetView tabSelected="1" zoomScale="120" zoomScaleNormal="120" workbookViewId="0">
      <selection sqref="A1:XFD1048576"/>
    </sheetView>
  </sheetViews>
  <sheetFormatPr defaultRowHeight="14.4" x14ac:dyDescent="0.3"/>
  <cols>
    <col min="1" max="1" width="8.88671875" style="2" customWidth="1"/>
    <col min="2" max="2" width="35.44140625" style="2" bestFit="1" customWidth="1"/>
    <col min="3" max="3" width="20.5546875" style="2" bestFit="1" customWidth="1"/>
    <col min="4" max="4" width="11.5546875" style="4" customWidth="1"/>
    <col min="5" max="5" width="9.44140625" style="2" customWidth="1"/>
    <col min="6" max="6" width="11.5546875" style="4" customWidth="1"/>
    <col min="7" max="7" width="28.33203125" style="2" customWidth="1"/>
    <col min="8" max="16384" width="8.88671875" style="2"/>
  </cols>
  <sheetData>
    <row r="1" spans="1:9" x14ac:dyDescent="0.3">
      <c r="B1" s="2" t="s">
        <v>71</v>
      </c>
      <c r="C1" s="2" t="s">
        <v>79</v>
      </c>
    </row>
    <row r="2" spans="1:9" ht="27.6" customHeight="1" x14ac:dyDescent="0.3">
      <c r="B2" s="1" t="s">
        <v>0</v>
      </c>
      <c r="C2" s="1" t="s">
        <v>1</v>
      </c>
      <c r="D2" s="3" t="s">
        <v>67</v>
      </c>
      <c r="E2" s="7" t="s">
        <v>70</v>
      </c>
      <c r="F2" s="3" t="s">
        <v>69</v>
      </c>
      <c r="G2" s="1" t="s">
        <v>2</v>
      </c>
      <c r="H2" s="1" t="s">
        <v>13</v>
      </c>
      <c r="I2" s="1"/>
    </row>
    <row r="3" spans="1:9" ht="86.4" x14ac:dyDescent="0.3">
      <c r="A3" s="2">
        <v>1</v>
      </c>
      <c r="B3" s="5" t="s">
        <v>40</v>
      </c>
      <c r="C3" s="2" t="s">
        <v>14</v>
      </c>
      <c r="G3" s="13" t="s">
        <v>84</v>
      </c>
      <c r="H3" s="14">
        <v>45</v>
      </c>
    </row>
    <row r="4" spans="1:9" ht="57.6" x14ac:dyDescent="0.3">
      <c r="A4" s="2">
        <v>2</v>
      </c>
      <c r="B4" s="5" t="s">
        <v>36</v>
      </c>
      <c r="C4" s="2" t="s">
        <v>15</v>
      </c>
      <c r="G4" s="13" t="s">
        <v>85</v>
      </c>
      <c r="H4" s="14">
        <v>25</v>
      </c>
    </row>
    <row r="5" spans="1:9" ht="57.6" x14ac:dyDescent="0.3">
      <c r="A5" s="2">
        <v>3</v>
      </c>
      <c r="B5" s="5" t="s">
        <v>41</v>
      </c>
      <c r="C5" s="2" t="s">
        <v>16</v>
      </c>
      <c r="G5" s="13" t="s">
        <v>85</v>
      </c>
      <c r="H5" s="14">
        <v>25</v>
      </c>
    </row>
    <row r="6" spans="1:9" x14ac:dyDescent="0.3">
      <c r="A6" s="2">
        <v>4</v>
      </c>
      <c r="B6" s="5" t="s">
        <v>37</v>
      </c>
      <c r="C6" s="2" t="s">
        <v>17</v>
      </c>
      <c r="G6" s="14" t="s">
        <v>86</v>
      </c>
      <c r="H6" s="14" t="s">
        <v>86</v>
      </c>
    </row>
    <row r="7" spans="1:9" ht="28.8" x14ac:dyDescent="0.3">
      <c r="A7" s="2">
        <v>5</v>
      </c>
      <c r="B7" s="5" t="s">
        <v>38</v>
      </c>
      <c r="C7" s="2" t="s">
        <v>18</v>
      </c>
      <c r="G7" s="13" t="s">
        <v>87</v>
      </c>
      <c r="H7" s="14">
        <v>15</v>
      </c>
    </row>
    <row r="8" spans="1:9" ht="43.2" x14ac:dyDescent="0.3">
      <c r="A8" s="2">
        <v>6</v>
      </c>
      <c r="B8" s="5" t="s">
        <v>42</v>
      </c>
      <c r="C8" s="2" t="s">
        <v>19</v>
      </c>
      <c r="G8" s="13" t="s">
        <v>88</v>
      </c>
      <c r="H8" s="14">
        <v>20</v>
      </c>
    </row>
    <row r="9" spans="1:9" ht="28.8" x14ac:dyDescent="0.3">
      <c r="A9" s="2">
        <v>7</v>
      </c>
      <c r="B9" s="5" t="s">
        <v>43</v>
      </c>
      <c r="C9" s="2" t="s">
        <v>20</v>
      </c>
      <c r="G9" s="13" t="s">
        <v>89</v>
      </c>
      <c r="H9" s="14">
        <v>30</v>
      </c>
    </row>
    <row r="10" spans="1:9" x14ac:dyDescent="0.3">
      <c r="A10" s="2">
        <v>8</v>
      </c>
      <c r="B10" s="5" t="s">
        <v>44</v>
      </c>
      <c r="C10" s="2" t="s">
        <v>21</v>
      </c>
      <c r="G10" s="14" t="s">
        <v>86</v>
      </c>
      <c r="H10" s="14" t="s">
        <v>86</v>
      </c>
    </row>
    <row r="11" spans="1:9" ht="28.8" x14ac:dyDescent="0.3">
      <c r="A11" s="2">
        <v>9</v>
      </c>
      <c r="B11" s="5" t="s">
        <v>45</v>
      </c>
      <c r="C11" s="2" t="s">
        <v>21</v>
      </c>
      <c r="G11" s="13" t="s">
        <v>90</v>
      </c>
      <c r="H11" s="14">
        <v>20</v>
      </c>
    </row>
    <row r="12" spans="1:9" ht="43.2" x14ac:dyDescent="0.3">
      <c r="A12" s="2">
        <v>10</v>
      </c>
      <c r="B12" s="5" t="s">
        <v>46</v>
      </c>
      <c r="C12" s="2" t="s">
        <v>22</v>
      </c>
      <c r="G12" s="13" t="s">
        <v>91</v>
      </c>
      <c r="H12" s="14">
        <v>15</v>
      </c>
    </row>
    <row r="13" spans="1:9" ht="28.8" x14ac:dyDescent="0.3">
      <c r="A13" s="2">
        <v>11</v>
      </c>
      <c r="B13" s="5" t="s">
        <v>47</v>
      </c>
      <c r="C13" s="2" t="s">
        <v>23</v>
      </c>
      <c r="G13" s="13" t="s">
        <v>92</v>
      </c>
      <c r="H13" s="14">
        <v>10</v>
      </c>
    </row>
    <row r="14" spans="1:9" ht="43.2" x14ac:dyDescent="0.3">
      <c r="A14" s="2">
        <v>12</v>
      </c>
      <c r="B14" s="5" t="s">
        <v>48</v>
      </c>
      <c r="C14" s="2" t="s">
        <v>24</v>
      </c>
      <c r="G14" s="13" t="s">
        <v>93</v>
      </c>
      <c r="H14" s="14">
        <v>15</v>
      </c>
    </row>
    <row r="15" spans="1:9" x14ac:dyDescent="0.3">
      <c r="A15" s="2">
        <v>13</v>
      </c>
      <c r="B15" s="6" t="s">
        <v>49</v>
      </c>
      <c r="C15" s="2" t="s">
        <v>24</v>
      </c>
      <c r="G15" t="s">
        <v>94</v>
      </c>
      <c r="H15" s="14">
        <v>25</v>
      </c>
    </row>
    <row r="16" spans="1:9" ht="43.2" x14ac:dyDescent="0.3">
      <c r="A16" s="2">
        <v>14</v>
      </c>
      <c r="B16" s="5" t="s">
        <v>50</v>
      </c>
      <c r="C16" s="2" t="s">
        <v>25</v>
      </c>
      <c r="G16" s="13" t="s">
        <v>95</v>
      </c>
      <c r="H16" s="14">
        <v>20</v>
      </c>
    </row>
    <row r="17" spans="1:8" ht="28.8" x14ac:dyDescent="0.3">
      <c r="A17" s="2">
        <v>15</v>
      </c>
      <c r="B17" s="5" t="s">
        <v>51</v>
      </c>
      <c r="C17" s="2" t="s">
        <v>26</v>
      </c>
      <c r="G17" s="13" t="s">
        <v>96</v>
      </c>
      <c r="H17" s="14">
        <v>15</v>
      </c>
    </row>
    <row r="18" spans="1:8" ht="28.8" x14ac:dyDescent="0.3">
      <c r="A18" s="2">
        <v>16</v>
      </c>
      <c r="B18" s="5" t="s">
        <v>52</v>
      </c>
      <c r="C18" s="2" t="s">
        <v>27</v>
      </c>
      <c r="G18" s="13" t="s">
        <v>97</v>
      </c>
      <c r="H18" s="14">
        <v>20</v>
      </c>
    </row>
    <row r="19" spans="1:8" x14ac:dyDescent="0.3">
      <c r="A19" s="2">
        <v>17</v>
      </c>
      <c r="B19" s="5" t="s">
        <v>53</v>
      </c>
      <c r="C19" s="2" t="s">
        <v>28</v>
      </c>
      <c r="G19" t="s">
        <v>98</v>
      </c>
      <c r="H19" s="14">
        <v>25</v>
      </c>
    </row>
    <row r="20" spans="1:8" x14ac:dyDescent="0.3">
      <c r="A20" s="2">
        <v>18</v>
      </c>
      <c r="B20" s="5" t="s">
        <v>54</v>
      </c>
      <c r="C20" s="2" t="s">
        <v>29</v>
      </c>
      <c r="G20" t="s">
        <v>99</v>
      </c>
      <c r="H20" s="14">
        <v>10</v>
      </c>
    </row>
    <row r="21" spans="1:8" x14ac:dyDescent="0.3">
      <c r="A21" s="2">
        <v>19</v>
      </c>
      <c r="B21" s="5" t="s">
        <v>55</v>
      </c>
      <c r="C21" s="2" t="s">
        <v>30</v>
      </c>
      <c r="G21" t="s">
        <v>100</v>
      </c>
      <c r="H21" s="14">
        <v>5</v>
      </c>
    </row>
    <row r="22" spans="1:8" x14ac:dyDescent="0.3">
      <c r="A22" s="2">
        <v>20</v>
      </c>
      <c r="B22" s="5" t="s">
        <v>56</v>
      </c>
      <c r="C22" s="2" t="s">
        <v>31</v>
      </c>
      <c r="G22" t="s">
        <v>101</v>
      </c>
      <c r="H22" s="14">
        <v>15</v>
      </c>
    </row>
    <row r="23" spans="1:8" x14ac:dyDescent="0.3">
      <c r="A23" s="2">
        <v>21</v>
      </c>
      <c r="B23" s="5" t="s">
        <v>57</v>
      </c>
      <c r="C23" s="2" t="s">
        <v>32</v>
      </c>
      <c r="G23" t="s">
        <v>102</v>
      </c>
      <c r="H23" s="14">
        <v>5</v>
      </c>
    </row>
    <row r="24" spans="1:8" x14ac:dyDescent="0.3">
      <c r="A24" s="2">
        <v>22</v>
      </c>
      <c r="B24" s="5" t="s">
        <v>62</v>
      </c>
      <c r="C24" s="2" t="s">
        <v>21</v>
      </c>
      <c r="G24" t="s">
        <v>103</v>
      </c>
      <c r="H24" s="14">
        <v>20</v>
      </c>
    </row>
    <row r="25" spans="1:8" x14ac:dyDescent="0.3">
      <c r="A25" s="2">
        <v>23</v>
      </c>
      <c r="B25" s="5" t="s">
        <v>39</v>
      </c>
      <c r="C25" s="2" t="s">
        <v>33</v>
      </c>
      <c r="G25" t="s">
        <v>104</v>
      </c>
      <c r="H25" s="14">
        <v>10</v>
      </c>
    </row>
    <row r="26" spans="1:8" x14ac:dyDescent="0.3">
      <c r="A26" s="2">
        <v>24</v>
      </c>
      <c r="B26" s="5" t="s">
        <v>58</v>
      </c>
      <c r="C26" s="2" t="s">
        <v>33</v>
      </c>
      <c r="G26" t="s">
        <v>105</v>
      </c>
      <c r="H26" s="14">
        <v>25</v>
      </c>
    </row>
    <row r="27" spans="1:8" x14ac:dyDescent="0.3">
      <c r="A27" s="2">
        <v>25</v>
      </c>
      <c r="B27" s="5" t="s">
        <v>59</v>
      </c>
      <c r="C27" s="2" t="s">
        <v>16</v>
      </c>
      <c r="G27" t="s">
        <v>106</v>
      </c>
      <c r="H27" s="14">
        <v>5</v>
      </c>
    </row>
    <row r="28" spans="1:8" x14ac:dyDescent="0.3">
      <c r="A28" s="2">
        <v>26</v>
      </c>
      <c r="B28" s="5" t="s">
        <v>60</v>
      </c>
      <c r="C28" s="2" t="s">
        <v>34</v>
      </c>
      <c r="G28" t="s">
        <v>107</v>
      </c>
      <c r="H28" s="14">
        <v>15</v>
      </c>
    </row>
    <row r="29" spans="1:8" x14ac:dyDescent="0.3">
      <c r="A29" s="2">
        <v>27</v>
      </c>
      <c r="B29" s="5" t="s">
        <v>61</v>
      </c>
      <c r="C29" s="2" t="s">
        <v>35</v>
      </c>
      <c r="G29" t="s">
        <v>108</v>
      </c>
      <c r="H29" s="1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3F94-20F9-45B2-BCD3-40F300923A6E}">
  <dimension ref="A2:I30"/>
  <sheetViews>
    <sheetView zoomScale="120" zoomScaleNormal="120" workbookViewId="0">
      <selection activeCell="G3" sqref="G3:G21"/>
    </sheetView>
  </sheetViews>
  <sheetFormatPr defaultRowHeight="14.4" x14ac:dyDescent="0.3"/>
  <cols>
    <col min="1" max="1" width="8.88671875" style="2"/>
    <col min="2" max="2" width="35.44140625" style="2" bestFit="1" customWidth="1"/>
    <col min="3" max="3" width="20.5546875" style="2" bestFit="1" customWidth="1"/>
    <col min="4" max="4" width="11.5546875" style="4" customWidth="1"/>
    <col min="5" max="5" width="11.5546875" style="2" customWidth="1"/>
    <col min="6" max="6" width="11.5546875" style="4" customWidth="1"/>
    <col min="7" max="7" width="38.77734375" style="2" customWidth="1"/>
    <col min="8" max="16384" width="8.88671875" style="2"/>
  </cols>
  <sheetData>
    <row r="2" spans="1:9" x14ac:dyDescent="0.3">
      <c r="B2" s="1" t="s">
        <v>0</v>
      </c>
      <c r="C2" s="1" t="s">
        <v>1</v>
      </c>
      <c r="D2" s="3" t="s">
        <v>67</v>
      </c>
      <c r="E2" s="1" t="s">
        <v>68</v>
      </c>
      <c r="F2" s="3" t="s">
        <v>69</v>
      </c>
      <c r="G2" s="1" t="s">
        <v>2</v>
      </c>
      <c r="H2" s="1" t="s">
        <v>13</v>
      </c>
      <c r="I2" s="1"/>
    </row>
    <row r="3" spans="1:9" x14ac:dyDescent="0.3">
      <c r="A3" s="2">
        <v>1</v>
      </c>
      <c r="B3" s="5" t="s">
        <v>40</v>
      </c>
      <c r="C3" s="2" t="s">
        <v>14</v>
      </c>
      <c r="F3" s="4" t="str">
        <f>IF(ISBLANK(D3)=TRUE,"",(D3+(E3*7)))</f>
        <v/>
      </c>
    </row>
    <row r="4" spans="1:9" x14ac:dyDescent="0.3">
      <c r="A4" s="2">
        <v>2</v>
      </c>
      <c r="B4" s="5" t="s">
        <v>36</v>
      </c>
      <c r="C4" s="2" t="s">
        <v>15</v>
      </c>
      <c r="F4" s="4" t="str">
        <f t="shared" ref="F4:F29" si="0">IF(ISBLANK(D4)=TRUE,"",(D4+(E4*7)))</f>
        <v/>
      </c>
    </row>
    <row r="5" spans="1:9" x14ac:dyDescent="0.3">
      <c r="A5" s="2">
        <v>3</v>
      </c>
      <c r="B5" s="5" t="s">
        <v>41</v>
      </c>
      <c r="C5" s="2" t="s">
        <v>16</v>
      </c>
      <c r="F5" s="4" t="str">
        <f t="shared" si="0"/>
        <v/>
      </c>
    </row>
    <row r="6" spans="1:9" x14ac:dyDescent="0.3">
      <c r="A6" s="2">
        <v>4</v>
      </c>
      <c r="B6" s="5" t="s">
        <v>42</v>
      </c>
      <c r="C6" s="2" t="s">
        <v>19</v>
      </c>
      <c r="F6" s="4" t="str">
        <f t="shared" si="0"/>
        <v/>
      </c>
    </row>
    <row r="7" spans="1:9" x14ac:dyDescent="0.3">
      <c r="A7" s="2">
        <v>5</v>
      </c>
      <c r="B7" s="5" t="s">
        <v>43</v>
      </c>
      <c r="C7" s="2" t="s">
        <v>20</v>
      </c>
      <c r="F7" s="4" t="str">
        <f t="shared" si="0"/>
        <v/>
      </c>
    </row>
    <row r="8" spans="1:9" x14ac:dyDescent="0.3">
      <c r="A8" s="2">
        <v>6</v>
      </c>
      <c r="B8" s="5" t="s">
        <v>44</v>
      </c>
      <c r="C8" s="2" t="s">
        <v>21</v>
      </c>
      <c r="F8" s="4" t="str">
        <f t="shared" si="0"/>
        <v/>
      </c>
    </row>
    <row r="9" spans="1:9" x14ac:dyDescent="0.3">
      <c r="A9" s="2">
        <v>7</v>
      </c>
      <c r="B9" s="5" t="s">
        <v>45</v>
      </c>
      <c r="C9" s="2" t="s">
        <v>21</v>
      </c>
      <c r="F9" s="4" t="str">
        <f t="shared" si="0"/>
        <v/>
      </c>
    </row>
    <row r="10" spans="1:9" x14ac:dyDescent="0.3">
      <c r="A10" s="2">
        <v>8</v>
      </c>
      <c r="B10" s="5" t="s">
        <v>46</v>
      </c>
      <c r="C10" s="2" t="s">
        <v>22</v>
      </c>
      <c r="F10" s="4" t="str">
        <f t="shared" si="0"/>
        <v/>
      </c>
    </row>
    <row r="11" spans="1:9" x14ac:dyDescent="0.3">
      <c r="A11" s="2">
        <v>9</v>
      </c>
      <c r="B11" s="5" t="s">
        <v>47</v>
      </c>
      <c r="C11" s="2" t="s">
        <v>23</v>
      </c>
      <c r="F11" s="4" t="str">
        <f t="shared" si="0"/>
        <v/>
      </c>
    </row>
    <row r="12" spans="1:9" x14ac:dyDescent="0.3">
      <c r="A12" s="2">
        <v>10</v>
      </c>
      <c r="B12" s="5" t="s">
        <v>50</v>
      </c>
      <c r="C12" s="2" t="s">
        <v>24</v>
      </c>
      <c r="F12" s="4" t="str">
        <f t="shared" si="0"/>
        <v/>
      </c>
    </row>
    <row r="13" spans="1:9" x14ac:dyDescent="0.3">
      <c r="A13" s="2">
        <v>11</v>
      </c>
      <c r="B13" s="5" t="s">
        <v>51</v>
      </c>
      <c r="C13" s="2" t="s">
        <v>26</v>
      </c>
      <c r="F13" s="4" t="str">
        <f t="shared" si="0"/>
        <v/>
      </c>
    </row>
    <row r="14" spans="1:9" x14ac:dyDescent="0.3">
      <c r="A14" s="2">
        <v>12</v>
      </c>
      <c r="B14" s="5" t="s">
        <v>53</v>
      </c>
      <c r="C14" s="2" t="s">
        <v>28</v>
      </c>
      <c r="F14" s="4" t="str">
        <f t="shared" si="0"/>
        <v/>
      </c>
    </row>
    <row r="15" spans="1:9" x14ac:dyDescent="0.3">
      <c r="A15" s="2">
        <v>13</v>
      </c>
      <c r="B15" s="5" t="s">
        <v>55</v>
      </c>
      <c r="C15" s="2" t="s">
        <v>30</v>
      </c>
      <c r="F15" s="4" t="str">
        <f t="shared" si="0"/>
        <v/>
      </c>
    </row>
    <row r="16" spans="1:9" x14ac:dyDescent="0.3">
      <c r="A16" s="2">
        <v>14</v>
      </c>
      <c r="B16" s="5" t="s">
        <v>62</v>
      </c>
      <c r="C16" s="2" t="s">
        <v>21</v>
      </c>
      <c r="F16" s="4" t="str">
        <f t="shared" si="0"/>
        <v/>
      </c>
    </row>
    <row r="17" spans="1:6" x14ac:dyDescent="0.3">
      <c r="A17" s="2">
        <v>15</v>
      </c>
      <c r="B17" s="5" t="s">
        <v>39</v>
      </c>
      <c r="C17" s="2" t="s">
        <v>33</v>
      </c>
      <c r="F17" s="4" t="str">
        <f t="shared" si="0"/>
        <v/>
      </c>
    </row>
    <row r="18" spans="1:6" x14ac:dyDescent="0.3">
      <c r="A18" s="2">
        <v>16</v>
      </c>
      <c r="B18" s="5" t="s">
        <v>58</v>
      </c>
      <c r="C18" s="2" t="s">
        <v>33</v>
      </c>
      <c r="F18" s="4" t="str">
        <f t="shared" si="0"/>
        <v/>
      </c>
    </row>
    <row r="19" spans="1:6" x14ac:dyDescent="0.3">
      <c r="A19" s="2">
        <v>17</v>
      </c>
      <c r="B19" s="5" t="s">
        <v>59</v>
      </c>
      <c r="C19" s="2" t="s">
        <v>16</v>
      </c>
      <c r="F19" s="4" t="str">
        <f t="shared" si="0"/>
        <v/>
      </c>
    </row>
    <row r="20" spans="1:6" x14ac:dyDescent="0.3">
      <c r="A20" s="2">
        <v>18</v>
      </c>
      <c r="B20" s="5" t="s">
        <v>60</v>
      </c>
      <c r="C20" s="2" t="s">
        <v>34</v>
      </c>
      <c r="F20" s="4" t="str">
        <f t="shared" si="0"/>
        <v/>
      </c>
    </row>
    <row r="21" spans="1:6" x14ac:dyDescent="0.3">
      <c r="A21" s="2">
        <v>19</v>
      </c>
      <c r="B21" s="5" t="s">
        <v>61</v>
      </c>
      <c r="C21" s="2" t="s">
        <v>35</v>
      </c>
      <c r="F21" s="4" t="str">
        <f t="shared" si="0"/>
        <v/>
      </c>
    </row>
    <row r="22" spans="1:6" x14ac:dyDescent="0.3">
      <c r="B22" s="5"/>
      <c r="F22" s="4" t="str">
        <f t="shared" si="0"/>
        <v/>
      </c>
    </row>
    <row r="23" spans="1:6" x14ac:dyDescent="0.3">
      <c r="B23" s="5"/>
      <c r="F23" s="4" t="str">
        <f t="shared" si="0"/>
        <v/>
      </c>
    </row>
    <row r="24" spans="1:6" x14ac:dyDescent="0.3">
      <c r="B24" s="5"/>
      <c r="F24" s="4" t="str">
        <f t="shared" si="0"/>
        <v/>
      </c>
    </row>
    <row r="25" spans="1:6" x14ac:dyDescent="0.3">
      <c r="B25" s="5"/>
      <c r="F25" s="4" t="str">
        <f t="shared" si="0"/>
        <v/>
      </c>
    </row>
    <row r="26" spans="1:6" x14ac:dyDescent="0.3">
      <c r="B26" s="5"/>
      <c r="F26" s="4" t="str">
        <f t="shared" si="0"/>
        <v/>
      </c>
    </row>
    <row r="27" spans="1:6" x14ac:dyDescent="0.3">
      <c r="B27" s="5"/>
      <c r="F27" s="4" t="str">
        <f t="shared" si="0"/>
        <v/>
      </c>
    </row>
    <row r="28" spans="1:6" x14ac:dyDescent="0.3">
      <c r="B28" s="5"/>
      <c r="F28" s="4" t="str">
        <f t="shared" si="0"/>
        <v/>
      </c>
    </row>
    <row r="29" spans="1:6" x14ac:dyDescent="0.3">
      <c r="B29" s="5"/>
      <c r="F29" s="4" t="str">
        <f t="shared" si="0"/>
        <v/>
      </c>
    </row>
    <row r="30" spans="1:6" x14ac:dyDescent="0.3">
      <c r="B3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CC74-99C2-4DBC-B5DB-BBE4297B0884}">
  <dimension ref="A2:I29"/>
  <sheetViews>
    <sheetView zoomScale="120" zoomScaleNormal="120" workbookViewId="0">
      <selection activeCell="B2" sqref="B2"/>
    </sheetView>
  </sheetViews>
  <sheetFormatPr defaultRowHeight="14.4" x14ac:dyDescent="0.3"/>
  <cols>
    <col min="1" max="1" width="8.88671875" style="2"/>
    <col min="2" max="2" width="35.44140625" style="2" bestFit="1" customWidth="1"/>
    <col min="3" max="3" width="20" style="2" bestFit="1" customWidth="1"/>
    <col min="4" max="4" width="11.5546875" style="4" customWidth="1"/>
    <col min="5" max="5" width="11.5546875" style="2" customWidth="1"/>
    <col min="6" max="6" width="11.5546875" style="4" customWidth="1"/>
    <col min="7" max="16384" width="8.88671875" style="2"/>
  </cols>
  <sheetData>
    <row r="2" spans="1:9" x14ac:dyDescent="0.3">
      <c r="B2" s="1" t="s">
        <v>0</v>
      </c>
      <c r="C2" s="1" t="s">
        <v>1</v>
      </c>
      <c r="D2" s="3" t="s">
        <v>67</v>
      </c>
      <c r="E2" s="1" t="s">
        <v>68</v>
      </c>
      <c r="F2" s="3" t="s">
        <v>69</v>
      </c>
      <c r="G2" s="1" t="s">
        <v>2</v>
      </c>
      <c r="H2" s="1" t="s">
        <v>13</v>
      </c>
      <c r="I2" s="1"/>
    </row>
    <row r="3" spans="1:9" x14ac:dyDescent="0.3">
      <c r="A3" s="2">
        <v>1</v>
      </c>
      <c r="B3" s="5" t="s">
        <v>36</v>
      </c>
      <c r="C3" s="2" t="s">
        <v>15</v>
      </c>
      <c r="F3" s="4" t="str">
        <f>IF(ISBLANK(D3)=TRUE,"",(D3+(E3*7)))</f>
        <v/>
      </c>
    </row>
    <row r="4" spans="1:9" x14ac:dyDescent="0.3">
      <c r="A4" s="2">
        <v>2</v>
      </c>
      <c r="B4" s="5" t="s">
        <v>41</v>
      </c>
      <c r="C4" s="2" t="s">
        <v>16</v>
      </c>
      <c r="F4" s="4" t="str">
        <f t="shared" ref="F4:F29" si="0">IF(ISBLANK(D4)=TRUE,"",(D4+(E4*7)))</f>
        <v/>
      </c>
    </row>
    <row r="5" spans="1:9" x14ac:dyDescent="0.3">
      <c r="A5" s="2">
        <v>3</v>
      </c>
      <c r="B5" s="5" t="s">
        <v>63</v>
      </c>
      <c r="C5" s="2" t="s">
        <v>64</v>
      </c>
      <c r="F5" s="4" t="str">
        <f t="shared" si="0"/>
        <v/>
      </c>
    </row>
    <row r="6" spans="1:9" x14ac:dyDescent="0.3">
      <c r="A6" s="2">
        <v>4</v>
      </c>
      <c r="B6" s="5" t="s">
        <v>55</v>
      </c>
      <c r="C6" s="2" t="s">
        <v>65</v>
      </c>
      <c r="F6" s="4" t="str">
        <f t="shared" si="0"/>
        <v/>
      </c>
    </row>
    <row r="7" spans="1:9" x14ac:dyDescent="0.3">
      <c r="A7" s="2">
        <v>5</v>
      </c>
      <c r="B7" s="5" t="s">
        <v>60</v>
      </c>
      <c r="C7" s="2" t="s">
        <v>34</v>
      </c>
      <c r="F7" s="4" t="str">
        <f t="shared" si="0"/>
        <v/>
      </c>
    </row>
    <row r="8" spans="1:9" x14ac:dyDescent="0.3">
      <c r="A8" s="2">
        <v>6</v>
      </c>
      <c r="B8" s="5" t="s">
        <v>61</v>
      </c>
      <c r="C8" s="2" t="s">
        <v>66</v>
      </c>
      <c r="F8" s="4" t="str">
        <f t="shared" si="0"/>
        <v/>
      </c>
    </row>
    <row r="9" spans="1:9" x14ac:dyDescent="0.3">
      <c r="B9" s="5"/>
      <c r="F9" s="4" t="str">
        <f t="shared" si="0"/>
        <v/>
      </c>
    </row>
    <row r="10" spans="1:9" x14ac:dyDescent="0.3">
      <c r="B10" s="5"/>
      <c r="F10" s="4" t="str">
        <f t="shared" si="0"/>
        <v/>
      </c>
    </row>
    <row r="11" spans="1:9" x14ac:dyDescent="0.3">
      <c r="B11" s="5"/>
      <c r="F11" s="4" t="str">
        <f t="shared" si="0"/>
        <v/>
      </c>
    </row>
    <row r="12" spans="1:9" x14ac:dyDescent="0.3">
      <c r="B12" s="5"/>
      <c r="F12" s="4" t="str">
        <f t="shared" si="0"/>
        <v/>
      </c>
    </row>
    <row r="13" spans="1:9" x14ac:dyDescent="0.3">
      <c r="B13" s="5"/>
      <c r="F13" s="4" t="str">
        <f t="shared" si="0"/>
        <v/>
      </c>
    </row>
    <row r="14" spans="1:9" x14ac:dyDescent="0.3">
      <c r="B14" s="5"/>
      <c r="F14" s="4" t="str">
        <f t="shared" si="0"/>
        <v/>
      </c>
    </row>
    <row r="15" spans="1:9" x14ac:dyDescent="0.3">
      <c r="B15" s="5"/>
      <c r="F15" s="4" t="str">
        <f t="shared" si="0"/>
        <v/>
      </c>
    </row>
    <row r="16" spans="1:9" x14ac:dyDescent="0.3">
      <c r="B16" s="5"/>
      <c r="F16" s="4" t="str">
        <f t="shared" si="0"/>
        <v/>
      </c>
    </row>
    <row r="17" spans="2:6" x14ac:dyDescent="0.3">
      <c r="B17" s="5"/>
      <c r="F17" s="4" t="str">
        <f t="shared" si="0"/>
        <v/>
      </c>
    </row>
    <row r="18" spans="2:6" x14ac:dyDescent="0.3">
      <c r="F18" s="4" t="str">
        <f t="shared" si="0"/>
        <v/>
      </c>
    </row>
    <row r="19" spans="2:6" x14ac:dyDescent="0.3">
      <c r="F19" s="4" t="str">
        <f t="shared" si="0"/>
        <v/>
      </c>
    </row>
    <row r="20" spans="2:6" x14ac:dyDescent="0.3">
      <c r="F20" s="4" t="str">
        <f t="shared" si="0"/>
        <v/>
      </c>
    </row>
    <row r="21" spans="2:6" x14ac:dyDescent="0.3">
      <c r="F21" s="4" t="str">
        <f t="shared" si="0"/>
        <v/>
      </c>
    </row>
    <row r="22" spans="2:6" x14ac:dyDescent="0.3">
      <c r="F22" s="4" t="str">
        <f t="shared" si="0"/>
        <v/>
      </c>
    </row>
    <row r="23" spans="2:6" x14ac:dyDescent="0.3">
      <c r="F23" s="4" t="str">
        <f t="shared" si="0"/>
        <v/>
      </c>
    </row>
    <row r="24" spans="2:6" x14ac:dyDescent="0.3">
      <c r="F24" s="4" t="str">
        <f t="shared" si="0"/>
        <v/>
      </c>
    </row>
    <row r="25" spans="2:6" x14ac:dyDescent="0.3">
      <c r="F25" s="4" t="str">
        <f t="shared" si="0"/>
        <v/>
      </c>
    </row>
    <row r="26" spans="2:6" x14ac:dyDescent="0.3">
      <c r="F26" s="4" t="str">
        <f t="shared" si="0"/>
        <v/>
      </c>
    </row>
    <row r="27" spans="2:6" x14ac:dyDescent="0.3">
      <c r="F27" s="4" t="str">
        <f t="shared" si="0"/>
        <v/>
      </c>
    </row>
    <row r="28" spans="2:6" x14ac:dyDescent="0.3">
      <c r="F28" s="4" t="str">
        <f t="shared" si="0"/>
        <v/>
      </c>
    </row>
    <row r="29" spans="2:6" x14ac:dyDescent="0.3">
      <c r="F29" s="4" t="str">
        <f t="shared" si="0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24AC-4459-43D2-B58B-5282F735F5F7}">
  <dimension ref="A2:I29"/>
  <sheetViews>
    <sheetView zoomScale="120" zoomScaleNormal="120" workbookViewId="0">
      <selection activeCell="B2" sqref="B2"/>
    </sheetView>
  </sheetViews>
  <sheetFormatPr defaultRowHeight="14.4" x14ac:dyDescent="0.3"/>
  <cols>
    <col min="1" max="1" width="8.88671875" style="2"/>
    <col min="2" max="2" width="35.44140625" style="2" bestFit="1" customWidth="1"/>
    <col min="3" max="3" width="20" style="2" bestFit="1" customWidth="1"/>
    <col min="4" max="4" width="11.5546875" style="4" customWidth="1"/>
    <col min="5" max="5" width="11.5546875" style="2" customWidth="1"/>
    <col min="6" max="6" width="11.5546875" style="4" customWidth="1"/>
    <col min="7" max="16384" width="8.88671875" style="2"/>
  </cols>
  <sheetData>
    <row r="2" spans="1:9" x14ac:dyDescent="0.3">
      <c r="B2" s="1" t="s">
        <v>0</v>
      </c>
      <c r="C2" s="1" t="s">
        <v>1</v>
      </c>
      <c r="D2" s="3" t="s">
        <v>67</v>
      </c>
      <c r="E2" s="1" t="s">
        <v>68</v>
      </c>
      <c r="F2" s="3" t="s">
        <v>69</v>
      </c>
      <c r="G2" s="1" t="s">
        <v>2</v>
      </c>
      <c r="H2" s="1" t="s">
        <v>13</v>
      </c>
      <c r="I2" s="1"/>
    </row>
    <row r="3" spans="1:9" x14ac:dyDescent="0.3">
      <c r="A3" s="2">
        <v>1</v>
      </c>
      <c r="B3" s="5" t="s">
        <v>40</v>
      </c>
      <c r="C3" s="2" t="s">
        <v>14</v>
      </c>
      <c r="F3" s="4" t="str">
        <f>IF(ISBLANK(D3)=TRUE,"",(D3+(E3*7)))</f>
        <v/>
      </c>
    </row>
    <row r="4" spans="1:9" x14ac:dyDescent="0.3">
      <c r="A4" s="2">
        <v>2</v>
      </c>
      <c r="B4" s="5" t="s">
        <v>36</v>
      </c>
      <c r="C4" s="2" t="s">
        <v>15</v>
      </c>
      <c r="F4" s="4" t="str">
        <f t="shared" ref="F4:F29" si="0">IF(ISBLANK(D4)=TRUE,"",(D4+(E4*7)))</f>
        <v/>
      </c>
    </row>
    <row r="5" spans="1:9" x14ac:dyDescent="0.3">
      <c r="A5" s="2">
        <v>3</v>
      </c>
      <c r="B5" s="5" t="s">
        <v>41</v>
      </c>
      <c r="C5" s="2" t="s">
        <v>16</v>
      </c>
      <c r="F5" s="4" t="str">
        <f t="shared" si="0"/>
        <v/>
      </c>
    </row>
    <row r="6" spans="1:9" x14ac:dyDescent="0.3">
      <c r="A6" s="2">
        <v>4</v>
      </c>
      <c r="B6" s="5" t="s">
        <v>37</v>
      </c>
      <c r="C6" s="2" t="s">
        <v>17</v>
      </c>
      <c r="F6" s="4" t="str">
        <f t="shared" si="0"/>
        <v/>
      </c>
    </row>
    <row r="7" spans="1:9" x14ac:dyDescent="0.3">
      <c r="A7" s="2">
        <v>5</v>
      </c>
      <c r="B7" s="5" t="s">
        <v>38</v>
      </c>
      <c r="C7" s="2" t="s">
        <v>18</v>
      </c>
      <c r="F7" s="4" t="str">
        <f t="shared" si="0"/>
        <v/>
      </c>
    </row>
    <row r="8" spans="1:9" x14ac:dyDescent="0.3">
      <c r="A8" s="2">
        <v>6</v>
      </c>
      <c r="B8" s="5" t="s">
        <v>42</v>
      </c>
      <c r="C8" s="2" t="s">
        <v>19</v>
      </c>
      <c r="F8" s="4" t="str">
        <f t="shared" si="0"/>
        <v/>
      </c>
    </row>
    <row r="9" spans="1:9" x14ac:dyDescent="0.3">
      <c r="A9" s="2">
        <v>7</v>
      </c>
      <c r="B9" s="5" t="s">
        <v>43</v>
      </c>
      <c r="C9" s="2" t="s">
        <v>20</v>
      </c>
      <c r="F9" s="4" t="str">
        <f t="shared" si="0"/>
        <v/>
      </c>
    </row>
    <row r="10" spans="1:9" x14ac:dyDescent="0.3">
      <c r="A10" s="2">
        <v>8</v>
      </c>
      <c r="B10" s="5" t="s">
        <v>44</v>
      </c>
      <c r="C10" s="2" t="s">
        <v>21</v>
      </c>
      <c r="F10" s="4" t="str">
        <f t="shared" si="0"/>
        <v/>
      </c>
    </row>
    <row r="11" spans="1:9" x14ac:dyDescent="0.3">
      <c r="A11" s="2">
        <v>9</v>
      </c>
      <c r="B11" s="5" t="s">
        <v>45</v>
      </c>
      <c r="C11" s="2" t="s">
        <v>21</v>
      </c>
      <c r="F11" s="4" t="str">
        <f t="shared" si="0"/>
        <v/>
      </c>
    </row>
    <row r="12" spans="1:9" x14ac:dyDescent="0.3">
      <c r="A12" s="2">
        <v>10</v>
      </c>
      <c r="B12" s="5" t="s">
        <v>46</v>
      </c>
      <c r="C12" s="2" t="s">
        <v>22</v>
      </c>
      <c r="F12" s="4" t="str">
        <f t="shared" si="0"/>
        <v/>
      </c>
    </row>
    <row r="13" spans="1:9" x14ac:dyDescent="0.3">
      <c r="A13" s="2">
        <v>11</v>
      </c>
      <c r="B13" s="5" t="s">
        <v>47</v>
      </c>
      <c r="C13" s="2" t="s">
        <v>23</v>
      </c>
      <c r="F13" s="4" t="str">
        <f t="shared" si="0"/>
        <v/>
      </c>
    </row>
    <row r="14" spans="1:9" x14ac:dyDescent="0.3">
      <c r="A14" s="2">
        <v>12</v>
      </c>
      <c r="B14" s="5" t="s">
        <v>48</v>
      </c>
      <c r="C14" s="2" t="s">
        <v>24</v>
      </c>
      <c r="F14" s="4" t="str">
        <f t="shared" si="0"/>
        <v/>
      </c>
    </row>
    <row r="15" spans="1:9" x14ac:dyDescent="0.3">
      <c r="A15" s="2">
        <v>13</v>
      </c>
      <c r="B15" s="6" t="s">
        <v>49</v>
      </c>
      <c r="C15" s="2" t="s">
        <v>24</v>
      </c>
      <c r="F15" s="4" t="str">
        <f t="shared" si="0"/>
        <v/>
      </c>
    </row>
    <row r="16" spans="1:9" x14ac:dyDescent="0.3">
      <c r="A16" s="2">
        <v>14</v>
      </c>
      <c r="B16" s="5" t="s">
        <v>50</v>
      </c>
      <c r="C16" s="2" t="s">
        <v>25</v>
      </c>
      <c r="F16" s="4" t="str">
        <f t="shared" si="0"/>
        <v/>
      </c>
    </row>
    <row r="17" spans="1:6" x14ac:dyDescent="0.3">
      <c r="A17" s="2">
        <v>15</v>
      </c>
      <c r="B17" s="5" t="s">
        <v>51</v>
      </c>
      <c r="C17" s="2" t="s">
        <v>26</v>
      </c>
      <c r="F17" s="4" t="str">
        <f t="shared" si="0"/>
        <v/>
      </c>
    </row>
    <row r="18" spans="1:6" x14ac:dyDescent="0.3">
      <c r="A18" s="2">
        <v>16</v>
      </c>
      <c r="B18" s="5" t="s">
        <v>52</v>
      </c>
      <c r="C18" s="2" t="s">
        <v>27</v>
      </c>
      <c r="F18" s="4" t="str">
        <f t="shared" si="0"/>
        <v/>
      </c>
    </row>
    <row r="19" spans="1:6" x14ac:dyDescent="0.3">
      <c r="A19" s="2">
        <v>17</v>
      </c>
      <c r="B19" s="5" t="s">
        <v>53</v>
      </c>
      <c r="C19" s="2" t="s">
        <v>28</v>
      </c>
      <c r="F19" s="4" t="str">
        <f t="shared" si="0"/>
        <v/>
      </c>
    </row>
    <row r="20" spans="1:6" x14ac:dyDescent="0.3">
      <c r="A20" s="2">
        <v>18</v>
      </c>
      <c r="B20" s="5" t="s">
        <v>54</v>
      </c>
      <c r="C20" s="2" t="s">
        <v>29</v>
      </c>
      <c r="F20" s="4" t="str">
        <f t="shared" si="0"/>
        <v/>
      </c>
    </row>
    <row r="21" spans="1:6" x14ac:dyDescent="0.3">
      <c r="A21" s="2">
        <v>19</v>
      </c>
      <c r="B21" s="5" t="s">
        <v>55</v>
      </c>
      <c r="C21" s="2" t="s">
        <v>65</v>
      </c>
      <c r="F21" s="4" t="str">
        <f t="shared" si="0"/>
        <v/>
      </c>
    </row>
    <row r="22" spans="1:6" x14ac:dyDescent="0.3">
      <c r="A22" s="2">
        <v>20</v>
      </c>
      <c r="B22" s="5" t="s">
        <v>56</v>
      </c>
      <c r="C22" s="2" t="s">
        <v>31</v>
      </c>
      <c r="F22" s="4" t="str">
        <f t="shared" si="0"/>
        <v/>
      </c>
    </row>
    <row r="23" spans="1:6" x14ac:dyDescent="0.3">
      <c r="A23" s="2">
        <v>21</v>
      </c>
      <c r="B23" s="5" t="s">
        <v>57</v>
      </c>
      <c r="C23" s="2" t="s">
        <v>32</v>
      </c>
      <c r="F23" s="4" t="str">
        <f t="shared" si="0"/>
        <v/>
      </c>
    </row>
    <row r="24" spans="1:6" x14ac:dyDescent="0.3">
      <c r="A24" s="2">
        <v>22</v>
      </c>
      <c r="B24" s="5" t="s">
        <v>62</v>
      </c>
      <c r="C24" s="2" t="s">
        <v>21</v>
      </c>
      <c r="F24" s="4" t="str">
        <f t="shared" si="0"/>
        <v/>
      </c>
    </row>
    <row r="25" spans="1:6" x14ac:dyDescent="0.3">
      <c r="A25" s="2">
        <v>23</v>
      </c>
      <c r="B25" s="5" t="s">
        <v>39</v>
      </c>
      <c r="C25" s="2" t="s">
        <v>33</v>
      </c>
      <c r="F25" s="4" t="str">
        <f t="shared" si="0"/>
        <v/>
      </c>
    </row>
    <row r="26" spans="1:6" x14ac:dyDescent="0.3">
      <c r="A26" s="2">
        <v>24</v>
      </c>
      <c r="B26" s="5" t="s">
        <v>58</v>
      </c>
      <c r="C26" s="2" t="s">
        <v>33</v>
      </c>
      <c r="F26" s="4" t="str">
        <f t="shared" si="0"/>
        <v/>
      </c>
    </row>
    <row r="27" spans="1:6" x14ac:dyDescent="0.3">
      <c r="A27" s="2">
        <v>25</v>
      </c>
      <c r="B27" s="5" t="s">
        <v>59</v>
      </c>
      <c r="C27" s="2" t="s">
        <v>16</v>
      </c>
      <c r="F27" s="4" t="str">
        <f t="shared" si="0"/>
        <v/>
      </c>
    </row>
    <row r="28" spans="1:6" x14ac:dyDescent="0.3">
      <c r="A28" s="2">
        <v>26</v>
      </c>
      <c r="B28" s="5" t="s">
        <v>60</v>
      </c>
      <c r="C28" s="2" t="s">
        <v>34</v>
      </c>
      <c r="F28" s="4" t="str">
        <f t="shared" si="0"/>
        <v/>
      </c>
    </row>
    <row r="29" spans="1:6" x14ac:dyDescent="0.3">
      <c r="A29" s="2">
        <v>27</v>
      </c>
      <c r="B29" s="5" t="s">
        <v>61</v>
      </c>
      <c r="C29" s="2" t="s">
        <v>35</v>
      </c>
      <c r="F29" s="4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 Program</vt:lpstr>
      <vt:lpstr>CIP</vt:lpstr>
      <vt:lpstr>ECR - Standard</vt:lpstr>
      <vt:lpstr>ECR Manager Decision</vt:lpstr>
      <vt:lpstr>CO ECR</vt:lpstr>
      <vt:lpstr>Global ECR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Aguilera Barragan Pickens German (PS-CC/PJM-NA)</dc:creator>
  <cp:lastModifiedBy>Aguilera Barragan Pickens German (PS-CC/PJM-NA)</cp:lastModifiedBy>
  <dcterms:created xsi:type="dcterms:W3CDTF">2026-03-23T19:14:52Z</dcterms:created>
  <dcterms:modified xsi:type="dcterms:W3CDTF">2026-05-19T21:33:59Z</dcterms:modified>
</cp:coreProperties>
</file>